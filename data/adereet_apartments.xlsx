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נחות" sheetId="1" state="visible" r:id="rId3"/>
    <sheet name="דירות מחיר מטרה" sheetId="2" state="visible" r:id="rId4"/>
    <sheet name="כל הדירות בפרויקט" sheetId="3" state="visible" r:id="rId5"/>
  </sheets>
  <definedNames>
    <definedName function="false" hidden="true" localSheetId="1" name="_xlnm._FilterDatabase" vbProcedure="false">'דירות מחיר מטרה'!$A$1:$T$85</definedName>
    <definedName function="false" hidden="true" localSheetId="2" name="_xlnm._FilterDatabase" vbProcedure="false">'כל הדירות בפרויקט'!$A$1:$M$106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<sst xmlns="http://schemas.openxmlformats.org/spreadsheetml/2006/main" count="609" uniqueCount="85">
  <si>
    <t xml:space="preserve">הנחות וקבועים — עדכנו את התאים הצהובים בלבד</t>
  </si>
  <si>
    <t xml:space="preserve">פרמטר</t>
  </si>
  <si>
    <t xml:space="preserve">ערך</t>
  </si>
  <si>
    <t xml:space="preserve">הערות</t>
  </si>
  <si>
    <t xml:space="preserve">מחיר למ"ר לפני מע"מ (לפי המכרז)</t>
  </si>
  <si>
    <t xml:space="preserve">נתון מהמשתמש — מכרז מחיר מטרה</t>
  </si>
  <si>
    <t xml:space="preserve">מקדם מרפסת לחישוב המחיר</t>
  </si>
  <si>
    <t xml:space="preserve">הנחת עבודה מקובלת במכרזי מחיר מטרה/למשתכן — לאמת מול נספח התמורה בחוזה!</t>
  </si>
  <si>
    <t xml:space="preserve">מע"מ</t>
  </si>
  <si>
    <t xml:space="preserve">שיעור מע"מ נכון ל-2026 — לעדכן אם ישתנה עד החתימה</t>
  </si>
  <si>
    <t xml:space="preserve">שיעור הנחה</t>
  </si>
  <si>
    <t xml:space="preserve">הנמוך מבין 20% מהמחיר או תקרת ההנחה</t>
  </si>
  <si>
    <t xml:space="preserve">תקרת הנחה</t>
  </si>
  <si>
    <t xml:space="preserve">נתון מהמשתמש</t>
  </si>
  <si>
    <t xml:space="preserve">מחיר שוק משוער למ"ר (כולל מע"מ)</t>
  </si>
  <si>
    <t xml:space="preserve">הערכת מקום ראשונית לדירה חדשה בנוף צמרת/פ"ת — חובה לעדכן לפי עסקאות אמת/שמאות</t>
  </si>
  <si>
    <t xml:space="preserve">מקדם מרפסת בשווי שוק</t>
  </si>
  <si>
    <t xml:space="preserve">הנחת עבודה לשווי מרפסת בשוק החופשי</t>
  </si>
  <si>
    <t xml:space="preserve">הערות חשובות:</t>
  </si>
  <si>
    <t xml:space="preserve">1. על המחיר החוזי תתווסף הצמדה למדד תשומות הבנייה (לא מגולמת כאן) — ההצמדה חלה בדרך כלל על יתרת התשלומים.</t>
  </si>
  <si>
    <t xml:space="preserve">2. הנתונים חולצו אוטומטית מקובץ ה-DWFX של תכניות המכר (גיליון R18367-X-XX-DP-A-001, Revit 2024, פרויקט "אדרת בצמרת - סירקין", מגרש 201).</t>
  </si>
  <si>
    <t xml:space="preserve">3. שטחי מרפסות נלקחו מתוויות "מרפסת שמש" בתכניות, ואומתו פר טיפוס דירה על פני כל הקומות.</t>
  </si>
  <si>
    <t xml:space="preserve">4. "פונה לפארק": הפארק הציבורי גובל במגרש ממזרח. ההנחה: בניינים 2-3 בצד המזרחי של המגרש — כיוון מזרח בהם פתוח לפארק; בבניין 1 מזרח מוסתר חלקית. לאמת מול תשריט הפיתוח!</t>
  </si>
  <si>
    <t xml:space="preserve">5. בקומה טיפוסית 2-3 מוצגת תכנית אחת לשתי הקומות; מספרי הדירות בקומה 3 = קומה 2 + 5 (אומת מול טבלאות התכנית).</t>
  </si>
  <si>
    <t xml:space="preserve">6. דירות 3G (בניין 3, דירות 1-2) כוללות חצר פרטית ששטחה אינו מסומן בתכנית.</t>
  </si>
  <si>
    <t xml:space="preserve">7. שדה "תקרת מחיר מטרה" = הכיתוב "שייכות מחיר מטרה עד 80/110 מ"ר" המופיע בטבלת כל דירה בתכנית.</t>
  </si>
  <si>
    <t xml:space="preserve">בניין</t>
  </si>
  <si>
    <t xml:space="preserve">דירה</t>
  </si>
  <si>
    <t xml:space="preserve">קומה</t>
  </si>
  <si>
    <t xml:space="preserve">טיפוס</t>
  </si>
  <si>
    <t xml:space="preserve">חדרים</t>
  </si>
  <si>
    <t xml:space="preserve">שטח דירה (מ"ר)</t>
  </si>
  <si>
    <t xml:space="preserve">מרפסת שמש (מ"ר)</t>
  </si>
  <si>
    <t xml:space="preserve">מס' מרפסות</t>
  </si>
  <si>
    <t xml:space="preserve">חצר</t>
  </si>
  <si>
    <t xml:space="preserve">כיווני אוויר</t>
  </si>
  <si>
    <t xml:space="preserve">פונה לפארק</t>
  </si>
  <si>
    <t xml:space="preserve">תקרת מחיר מטרה (מ"ר)</t>
  </si>
  <si>
    <t xml:space="preserve">שטח לתמחור (מ"ר)</t>
  </si>
  <si>
    <t xml:space="preserve">מחיר לפני מע"מ</t>
  </si>
  <si>
    <t xml:space="preserve">מחיר כולל מע"מ</t>
  </si>
  <si>
    <t xml:space="preserve">הנחה</t>
  </si>
  <si>
    <t xml:space="preserve">מחיר נטו לתשלום</t>
  </si>
  <si>
    <t xml:space="preserve">שווי שוק משוער</t>
  </si>
  <si>
    <t xml:space="preserve">רווח גולמי משוער</t>
  </si>
  <si>
    <t xml:space="preserve">דירוג רווח</t>
  </si>
  <si>
    <t xml:space="preserve">1A</t>
  </si>
  <si>
    <t xml:space="preserve">מערב - צפון</t>
  </si>
  <si>
    <t xml:space="preserve">1B</t>
  </si>
  <si>
    <t xml:space="preserve">מזרח - צפון</t>
  </si>
  <si>
    <t xml:space="preserve">חלקי</t>
  </si>
  <si>
    <t xml:space="preserve">1C</t>
  </si>
  <si>
    <t xml:space="preserve">מזרח - דרום</t>
  </si>
  <si>
    <t xml:space="preserve">1D</t>
  </si>
  <si>
    <t xml:space="preserve">דרום</t>
  </si>
  <si>
    <t xml:space="preserve">1E</t>
  </si>
  <si>
    <t xml:space="preserve">מערב - דרום</t>
  </si>
  <si>
    <t xml:space="preserve">2A</t>
  </si>
  <si>
    <t xml:space="preserve">2B</t>
  </si>
  <si>
    <t xml:space="preserve">כן</t>
  </si>
  <si>
    <t xml:space="preserve">2C</t>
  </si>
  <si>
    <t xml:space="preserve">2D</t>
  </si>
  <si>
    <t xml:space="preserve">2E</t>
  </si>
  <si>
    <t xml:space="preserve">3G</t>
  </si>
  <si>
    <t xml:space="preserve">מערב</t>
  </si>
  <si>
    <t xml:space="preserve">3A</t>
  </si>
  <si>
    <t xml:space="preserve">3B</t>
  </si>
  <si>
    <t xml:space="preserve">3C</t>
  </si>
  <si>
    <t xml:space="preserve">3D</t>
  </si>
  <si>
    <t xml:space="preserve">3E</t>
  </si>
  <si>
    <t xml:space="preserve">מחיר מטרה</t>
  </si>
  <si>
    <t xml:space="preserve">1G</t>
  </si>
  <si>
    <t xml:space="preserve">1H</t>
  </si>
  <si>
    <t xml:space="preserve">1I</t>
  </si>
  <si>
    <t xml:space="preserve">1P</t>
  </si>
  <si>
    <t xml:space="preserve">מערב - דרום - צפון</t>
  </si>
  <si>
    <t xml:space="preserve">מזרח - דרום - צפון</t>
  </si>
  <si>
    <t xml:space="preserve">2F</t>
  </si>
  <si>
    <t xml:space="preserve">2G</t>
  </si>
  <si>
    <t xml:space="preserve">2P</t>
  </si>
  <si>
    <t xml:space="preserve">3F</t>
  </si>
  <si>
    <t xml:space="preserve">3H</t>
  </si>
  <si>
    <t xml:space="preserve">3P</t>
  </si>
  <si>
    <t xml:space="preserve">מערב - מזרח - צפון</t>
  </si>
  <si>
    <t xml:space="preserve">מזרח - מערב - דרום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</si>
</sst>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₪#,##0"/>
    <numFmt numFmtId="166" formatCode="0.0%"/>
    <numFmt numFmtId="167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95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15022</v>
      </c>
      <c r="C4" s="5" t="s">
        <v>5</v>
      </c>
    </row>
    <row r="5" customFormat="false" ht="15" hidden="false" customHeight="false" outlineLevel="0" collapsed="false">
      <c r="A5" s="3" t="s">
        <v>6</v>
      </c>
      <c r="B5" s="6" t="n">
        <v>0.3</v>
      </c>
      <c r="C5" s="5" t="s">
        <v>7</v>
      </c>
    </row>
    <row r="6" customFormat="false" ht="15" hidden="false" customHeight="false" outlineLevel="0" collapsed="false">
      <c r="A6" s="3" t="s">
        <v>8</v>
      </c>
      <c r="B6" s="6" t="n">
        <v>0.18</v>
      </c>
      <c r="C6" s="5" t="s">
        <v>9</v>
      </c>
    </row>
    <row r="7" customFormat="false" ht="15" hidden="false" customHeight="false" outlineLevel="0" collapsed="false">
      <c r="A7" s="3" t="s">
        <v>10</v>
      </c>
      <c r="B7" s="6" t="n">
        <v>0.2</v>
      </c>
      <c r="C7" s="5" t="s">
        <v>11</v>
      </c>
    </row>
    <row r="8" customFormat="false" ht="15" hidden="false" customHeight="false" outlineLevel="0" collapsed="false">
      <c r="A8" s="3" t="s">
        <v>12</v>
      </c>
      <c r="B8" s="4" t="n">
        <v>300000</v>
      </c>
      <c r="C8" s="5" t="s">
        <v>13</v>
      </c>
    </row>
    <row r="9" customFormat="false" ht="15" hidden="false" customHeight="false" outlineLevel="0" collapsed="false">
      <c r="A9" s="3" t="s">
        <v>14</v>
      </c>
      <c r="B9" s="4" t="n">
        <v>24000</v>
      </c>
      <c r="C9" s="5" t="s">
        <v>15</v>
      </c>
    </row>
    <row r="10" customFormat="false" ht="15" hidden="false" customHeight="false" outlineLevel="0" collapsed="false">
      <c r="A10" s="3" t="s">
        <v>16</v>
      </c>
      <c r="B10" s="6" t="n">
        <v>0.5</v>
      </c>
      <c r="C10" s="5" t="s">
        <v>17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 t="s">
        <v>18</v>
      </c>
    </row>
    <row r="13" customFormat="false" ht="15" hidden="false" customHeight="false" outlineLevel="0" collapsed="false">
      <c r="A13" s="7" t="s">
        <v>19</v>
      </c>
    </row>
    <row r="14" customFormat="false" ht="15" hidden="false" customHeight="false" outlineLevel="0" collapsed="false">
      <c r="A14" s="7" t="s">
        <v>20</v>
      </c>
    </row>
    <row r="15" customFormat="false" ht="15" hidden="false" customHeight="false" outlineLevel="0" collapsed="false">
      <c r="A15" s="7" t="s">
        <v>21</v>
      </c>
    </row>
    <row r="16" customFormat="false" ht="15" hidden="false" customHeight="false" outlineLevel="0" collapsed="false">
      <c r="A16" s="7" t="s">
        <v>22</v>
      </c>
    </row>
    <row r="17" customFormat="false" ht="15" hidden="false" customHeight="false" outlineLevel="0" collapsed="false">
      <c r="A17" s="7" t="s">
        <v>23</v>
      </c>
    </row>
    <row r="18" customFormat="false" ht="15" hidden="false" customHeight="false" outlineLevel="0" collapsed="false">
      <c r="A18" s="7" t="s">
        <v>24</v>
      </c>
    </row>
    <row r="19" customFormat="false" ht="15" hidden="false" customHeight="false" outlineLevel="0" collapsed="false">
      <c r="A19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5" min="4" style="0" width="8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9" min="17" style="0" width="13"/>
    <col collapsed="false" customWidth="true" hidden="false" outlineLevel="0" max="20" min="20" style="0" width="9"/>
  </cols>
  <sheetData>
    <row r="1" customFormat="false" ht="35.05" hidden="false" customHeight="fals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38</v>
      </c>
      <c r="N1" s="8" t="s">
        <v>39</v>
      </c>
      <c r="O1" s="8" t="s">
        <v>40</v>
      </c>
      <c r="P1" s="8" t="s">
        <v>41</v>
      </c>
      <c r="Q1" s="8" t="s">
        <v>42</v>
      </c>
      <c r="R1" s="8" t="s">
        <v>43</v>
      </c>
      <c r="S1" s="8" t="s">
        <v>44</v>
      </c>
      <c r="T1" s="8" t="s">
        <v>45</v>
      </c>
    </row>
    <row r="2" customFormat="false" ht="15" hidden="false" customHeight="false" outlineLevel="0" collapsed="false">
      <c r="A2" s="9" t="n">
        <v>1</v>
      </c>
      <c r="B2" s="9" t="n">
        <v>2</v>
      </c>
      <c r="C2" s="9" t="n">
        <v>1</v>
      </c>
      <c r="D2" s="9" t="s">
        <v>46</v>
      </c>
      <c r="E2" s="9" t="n">
        <v>3</v>
      </c>
      <c r="F2" s="9" t="n">
        <v>87.77</v>
      </c>
      <c r="G2" s="9" t="n">
        <v>21.67</v>
      </c>
      <c r="H2" s="9" t="n">
        <v>2</v>
      </c>
      <c r="I2" s="9"/>
      <c r="J2" s="9" t="s">
        <v>47</v>
      </c>
      <c r="K2" s="9"/>
      <c r="L2" s="9" t="n">
        <v>110</v>
      </c>
      <c r="M2" s="10" t="n">
        <f aca="false">F2+הנחות!$B$5*G2</f>
        <v>94.271</v>
      </c>
      <c r="N2" s="11" t="n">
        <f aca="false">ROUND(M2*הנחות!$B$4,0)</f>
        <v>1416139</v>
      </c>
      <c r="O2" s="11" t="n">
        <f aca="false">ROUND(N2*(1+הנחות!$B$6),0)</f>
        <v>1671044</v>
      </c>
      <c r="P2" s="11" t="n">
        <f aca="false">MIN(הנחות!$B$7*O2,הנחות!$B$8)</f>
        <v>300000</v>
      </c>
      <c r="Q2" s="11" t="n">
        <f aca="false">O2-P2</f>
        <v>1371044</v>
      </c>
      <c r="R2" s="11" t="n">
        <f aca="false">ROUND(הנחות!$B$9*(F2+הנחות!$B$10*G2),0)</f>
        <v>2366520</v>
      </c>
      <c r="S2" s="11" t="n">
        <f aca="false">R2-Q2</f>
        <v>995476</v>
      </c>
      <c r="T2" s="9" t="n">
        <f aca="false">RANK(S2,S$2:S$85)</f>
        <v>40</v>
      </c>
    </row>
    <row r="3" customFormat="false" ht="15" hidden="false" customHeight="false" outlineLevel="0" collapsed="false">
      <c r="A3" s="9" t="n">
        <v>1</v>
      </c>
      <c r="B3" s="9" t="n">
        <v>3</v>
      </c>
      <c r="C3" s="9" t="n">
        <v>1</v>
      </c>
      <c r="D3" s="9" t="s">
        <v>48</v>
      </c>
      <c r="E3" s="9" t="n">
        <v>4</v>
      </c>
      <c r="F3" s="9" t="n">
        <v>107.95</v>
      </c>
      <c r="G3" s="9" t="n">
        <v>11.88</v>
      </c>
      <c r="H3" s="9" t="n">
        <v>1</v>
      </c>
      <c r="I3" s="9"/>
      <c r="J3" s="9" t="s">
        <v>49</v>
      </c>
      <c r="K3" s="9" t="s">
        <v>50</v>
      </c>
      <c r="L3" s="9" t="n">
        <v>110</v>
      </c>
      <c r="M3" s="10" t="n">
        <f aca="false">F3+הנחות!$B$5*G3</f>
        <v>111.514</v>
      </c>
      <c r="N3" s="11" t="n">
        <f aca="false">ROUND(M3*הנחות!$B$4,0)</f>
        <v>1675163</v>
      </c>
      <c r="O3" s="11" t="n">
        <f aca="false">ROUND(N3*(1+הנחות!$B$6),0)</f>
        <v>1976692</v>
      </c>
      <c r="P3" s="11" t="n">
        <f aca="false">MIN(הנחות!$B$7*O3,הנחות!$B$8)</f>
        <v>300000</v>
      </c>
      <c r="Q3" s="11" t="n">
        <f aca="false">O3-P3</f>
        <v>1676692</v>
      </c>
      <c r="R3" s="11" t="n">
        <f aca="false">ROUND(הנחות!$B$9*(F3+הנחות!$B$10*G3),0)</f>
        <v>2733360</v>
      </c>
      <c r="S3" s="11" t="n">
        <f aca="false">R3-Q3</f>
        <v>1056668</v>
      </c>
      <c r="T3" s="9" t="n">
        <f aca="false">RANK(S3,S$2:S$85)</f>
        <v>27</v>
      </c>
    </row>
    <row r="4" customFormat="false" ht="15" hidden="false" customHeight="false" outlineLevel="0" collapsed="false">
      <c r="A4" s="9" t="n">
        <v>1</v>
      </c>
      <c r="B4" s="9" t="n">
        <v>4</v>
      </c>
      <c r="C4" s="9" t="n">
        <v>1</v>
      </c>
      <c r="D4" s="9" t="s">
        <v>51</v>
      </c>
      <c r="E4" s="9" t="n">
        <v>3</v>
      </c>
      <c r="F4" s="9" t="n">
        <v>79.72</v>
      </c>
      <c r="G4" s="9" t="n">
        <v>13.6</v>
      </c>
      <c r="H4" s="9" t="n">
        <v>1</v>
      </c>
      <c r="I4" s="9"/>
      <c r="J4" s="9" t="s">
        <v>52</v>
      </c>
      <c r="K4" s="9" t="s">
        <v>50</v>
      </c>
      <c r="L4" s="9" t="n">
        <v>80</v>
      </c>
      <c r="M4" s="10" t="n">
        <f aca="false">F4+הנחות!$B$5*G4</f>
        <v>83.8</v>
      </c>
      <c r="N4" s="11" t="n">
        <f aca="false">ROUND(M4*הנחות!$B$4,0)</f>
        <v>1258844</v>
      </c>
      <c r="O4" s="11" t="n">
        <f aca="false">ROUND(N4*(1+הנחות!$B$6),0)</f>
        <v>1485436</v>
      </c>
      <c r="P4" s="11" t="n">
        <f aca="false">MIN(הנחות!$B$7*O4,הנחות!$B$8)</f>
        <v>297087.2</v>
      </c>
      <c r="Q4" s="11" t="n">
        <f aca="false">O4-P4</f>
        <v>1188348.8</v>
      </c>
      <c r="R4" s="11" t="n">
        <f aca="false">ROUND(הנחות!$B$9*(F4+הנחות!$B$10*G4),0)</f>
        <v>2076480</v>
      </c>
      <c r="S4" s="11" t="n">
        <f aca="false">R4-Q4</f>
        <v>888131.2</v>
      </c>
      <c r="T4" s="9" t="n">
        <f aca="false">RANK(S4,S$2:S$85)</f>
        <v>62</v>
      </c>
    </row>
    <row r="5" customFormat="false" ht="15" hidden="false" customHeight="false" outlineLevel="0" collapsed="false">
      <c r="A5" s="9" t="n">
        <v>1</v>
      </c>
      <c r="B5" s="9" t="n">
        <v>5</v>
      </c>
      <c r="C5" s="9" t="n">
        <v>1</v>
      </c>
      <c r="D5" s="9" t="s">
        <v>53</v>
      </c>
      <c r="E5" s="9" t="n">
        <v>3</v>
      </c>
      <c r="F5" s="9" t="n">
        <v>78.78</v>
      </c>
      <c r="G5" s="9" t="n">
        <v>7.4</v>
      </c>
      <c r="H5" s="9" t="n">
        <v>1</v>
      </c>
      <c r="I5" s="9"/>
      <c r="J5" s="9" t="s">
        <v>54</v>
      </c>
      <c r="K5" s="9"/>
      <c r="L5" s="9" t="n">
        <v>80</v>
      </c>
      <c r="M5" s="10" t="n">
        <f aca="false">F5+הנחות!$B$5*G5</f>
        <v>81</v>
      </c>
      <c r="N5" s="11" t="n">
        <f aca="false">ROUND(M5*הנחות!$B$4,0)</f>
        <v>1216782</v>
      </c>
      <c r="O5" s="11" t="n">
        <f aca="false">ROUND(N5*(1+הנחות!$B$6),0)</f>
        <v>1435803</v>
      </c>
      <c r="P5" s="11" t="n">
        <f aca="false">MIN(הנחות!$B$7*O5,הנחות!$B$8)</f>
        <v>287160.6</v>
      </c>
      <c r="Q5" s="11" t="n">
        <f aca="false">O5-P5</f>
        <v>1148642.4</v>
      </c>
      <c r="R5" s="11" t="n">
        <f aca="false">ROUND(הנחות!$B$9*(F5+הנחות!$B$10*G5),0)</f>
        <v>1979520</v>
      </c>
      <c r="S5" s="11" t="n">
        <f aca="false">R5-Q5</f>
        <v>830877.6</v>
      </c>
      <c r="T5" s="9" t="n">
        <f aca="false">RANK(S5,S$2:S$85)</f>
        <v>68</v>
      </c>
    </row>
    <row r="6" customFormat="false" ht="15" hidden="false" customHeight="false" outlineLevel="0" collapsed="false">
      <c r="A6" s="9" t="n">
        <v>1</v>
      </c>
      <c r="B6" s="9" t="n">
        <v>6</v>
      </c>
      <c r="C6" s="9" t="n">
        <v>1</v>
      </c>
      <c r="D6" s="9" t="s">
        <v>55</v>
      </c>
      <c r="E6" s="9" t="n">
        <v>4</v>
      </c>
      <c r="F6" s="9" t="n">
        <v>109.6</v>
      </c>
      <c r="G6" s="9" t="n">
        <v>13.01</v>
      </c>
      <c r="H6" s="9" t="n">
        <v>1</v>
      </c>
      <c r="I6" s="9"/>
      <c r="J6" s="9" t="s">
        <v>56</v>
      </c>
      <c r="K6" s="9"/>
      <c r="L6" s="9" t="n">
        <v>110</v>
      </c>
      <c r="M6" s="10" t="n">
        <f aca="false">F6+הנחות!$B$5*G6</f>
        <v>113.503</v>
      </c>
      <c r="N6" s="11" t="n">
        <f aca="false">ROUND(M6*הנחות!$B$4,0)</f>
        <v>1705042</v>
      </c>
      <c r="O6" s="11" t="n">
        <f aca="false">ROUND(N6*(1+הנחות!$B$6),0)</f>
        <v>2011950</v>
      </c>
      <c r="P6" s="11" t="n">
        <f aca="false">MIN(הנחות!$B$7*O6,הנחות!$B$8)</f>
        <v>300000</v>
      </c>
      <c r="Q6" s="11" t="n">
        <f aca="false">O6-P6</f>
        <v>1711950</v>
      </c>
      <c r="R6" s="11" t="n">
        <f aca="false">ROUND(הנחות!$B$9*(F6+הנחות!$B$10*G6),0)</f>
        <v>2786520</v>
      </c>
      <c r="S6" s="11" t="n">
        <f aca="false">R6-Q6</f>
        <v>1074570</v>
      </c>
      <c r="T6" s="9" t="n">
        <f aca="false">RANK(S6,S$2:S$85)</f>
        <v>7</v>
      </c>
    </row>
    <row r="7" customFormat="false" ht="15" hidden="false" customHeight="false" outlineLevel="0" collapsed="false">
      <c r="A7" s="9" t="n">
        <v>1</v>
      </c>
      <c r="B7" s="9" t="n">
        <v>7</v>
      </c>
      <c r="C7" s="9" t="n">
        <v>2</v>
      </c>
      <c r="D7" s="9" t="s">
        <v>46</v>
      </c>
      <c r="E7" s="9" t="n">
        <v>3</v>
      </c>
      <c r="F7" s="9" t="n">
        <v>87.77</v>
      </c>
      <c r="G7" s="9" t="n">
        <v>21.67</v>
      </c>
      <c r="H7" s="9" t="n">
        <v>2</v>
      </c>
      <c r="I7" s="9"/>
      <c r="J7" s="9" t="s">
        <v>47</v>
      </c>
      <c r="K7" s="9"/>
      <c r="L7" s="9" t="n">
        <v>110</v>
      </c>
      <c r="M7" s="10" t="n">
        <f aca="false">F7+הנחות!$B$5*G7</f>
        <v>94.271</v>
      </c>
      <c r="N7" s="11" t="n">
        <f aca="false">ROUND(M7*הנחות!$B$4,0)</f>
        <v>1416139</v>
      </c>
      <c r="O7" s="11" t="n">
        <f aca="false">ROUND(N7*(1+הנחות!$B$6),0)</f>
        <v>1671044</v>
      </c>
      <c r="P7" s="11" t="n">
        <f aca="false">MIN(הנחות!$B$7*O7,הנחות!$B$8)</f>
        <v>300000</v>
      </c>
      <c r="Q7" s="11" t="n">
        <f aca="false">O7-P7</f>
        <v>1371044</v>
      </c>
      <c r="R7" s="11" t="n">
        <f aca="false">ROUND(הנחות!$B$9*(F7+הנחות!$B$10*G7),0)</f>
        <v>2366520</v>
      </c>
      <c r="S7" s="11" t="n">
        <f aca="false">R7-Q7</f>
        <v>995476</v>
      </c>
      <c r="T7" s="9" t="n">
        <f aca="false">RANK(S7,S$2:S$85)</f>
        <v>40</v>
      </c>
    </row>
    <row r="8" customFormat="false" ht="15" hidden="false" customHeight="false" outlineLevel="0" collapsed="false">
      <c r="A8" s="9" t="n">
        <v>1</v>
      </c>
      <c r="B8" s="9" t="n">
        <v>8</v>
      </c>
      <c r="C8" s="9" t="n">
        <v>2</v>
      </c>
      <c r="D8" s="9" t="s">
        <v>48</v>
      </c>
      <c r="E8" s="9" t="n">
        <v>4</v>
      </c>
      <c r="F8" s="9" t="n">
        <v>107.95</v>
      </c>
      <c r="G8" s="9" t="n">
        <v>11.88</v>
      </c>
      <c r="H8" s="9" t="n">
        <v>1</v>
      </c>
      <c r="I8" s="9"/>
      <c r="J8" s="9" t="s">
        <v>49</v>
      </c>
      <c r="K8" s="9" t="s">
        <v>50</v>
      </c>
      <c r="L8" s="9" t="n">
        <v>110</v>
      </c>
      <c r="M8" s="10" t="n">
        <f aca="false">F8+הנחות!$B$5*G8</f>
        <v>111.514</v>
      </c>
      <c r="N8" s="11" t="n">
        <f aca="false">ROUND(M8*הנחות!$B$4,0)</f>
        <v>1675163</v>
      </c>
      <c r="O8" s="11" t="n">
        <f aca="false">ROUND(N8*(1+הנחות!$B$6),0)</f>
        <v>1976692</v>
      </c>
      <c r="P8" s="11" t="n">
        <f aca="false">MIN(הנחות!$B$7*O8,הנחות!$B$8)</f>
        <v>300000</v>
      </c>
      <c r="Q8" s="11" t="n">
        <f aca="false">O8-P8</f>
        <v>1676692</v>
      </c>
      <c r="R8" s="11" t="n">
        <f aca="false">ROUND(הנחות!$B$9*(F8+הנחות!$B$10*G8),0)</f>
        <v>2733360</v>
      </c>
      <c r="S8" s="11" t="n">
        <f aca="false">R8-Q8</f>
        <v>1056668</v>
      </c>
      <c r="T8" s="9" t="n">
        <f aca="false">RANK(S8,S$2:S$85)</f>
        <v>27</v>
      </c>
    </row>
    <row r="9" customFormat="false" ht="15" hidden="false" customHeight="false" outlineLevel="0" collapsed="false">
      <c r="A9" s="9" t="n">
        <v>1</v>
      </c>
      <c r="B9" s="9" t="n">
        <v>9</v>
      </c>
      <c r="C9" s="9" t="n">
        <v>2</v>
      </c>
      <c r="D9" s="9" t="s">
        <v>51</v>
      </c>
      <c r="E9" s="9" t="n">
        <v>3</v>
      </c>
      <c r="F9" s="9" t="n">
        <v>79.72</v>
      </c>
      <c r="G9" s="9" t="n">
        <v>13.6</v>
      </c>
      <c r="H9" s="9" t="n">
        <v>1</v>
      </c>
      <c r="I9" s="9"/>
      <c r="J9" s="9" t="s">
        <v>52</v>
      </c>
      <c r="K9" s="9" t="s">
        <v>50</v>
      </c>
      <c r="L9" s="9" t="n">
        <v>80</v>
      </c>
      <c r="M9" s="10" t="n">
        <f aca="false">F9+הנחות!$B$5*G9</f>
        <v>83.8</v>
      </c>
      <c r="N9" s="11" t="n">
        <f aca="false">ROUND(M9*הנחות!$B$4,0)</f>
        <v>1258844</v>
      </c>
      <c r="O9" s="11" t="n">
        <f aca="false">ROUND(N9*(1+הנחות!$B$6),0)</f>
        <v>1485436</v>
      </c>
      <c r="P9" s="11" t="n">
        <f aca="false">MIN(הנחות!$B$7*O9,הנחות!$B$8)</f>
        <v>297087.2</v>
      </c>
      <c r="Q9" s="11" t="n">
        <f aca="false">O9-P9</f>
        <v>1188348.8</v>
      </c>
      <c r="R9" s="11" t="n">
        <f aca="false">ROUND(הנחות!$B$9*(F9+הנחות!$B$10*G9),0)</f>
        <v>2076480</v>
      </c>
      <c r="S9" s="11" t="n">
        <f aca="false">R9-Q9</f>
        <v>888131.2</v>
      </c>
      <c r="T9" s="9" t="n">
        <f aca="false">RANK(S9,S$2:S$85)</f>
        <v>62</v>
      </c>
    </row>
    <row r="10" customFormat="false" ht="15" hidden="false" customHeight="false" outlineLevel="0" collapsed="false">
      <c r="A10" s="9" t="n">
        <v>1</v>
      </c>
      <c r="B10" s="9" t="n">
        <v>10</v>
      </c>
      <c r="C10" s="9" t="n">
        <v>2</v>
      </c>
      <c r="D10" s="9" t="s">
        <v>53</v>
      </c>
      <c r="E10" s="9" t="n">
        <v>3</v>
      </c>
      <c r="F10" s="9" t="n">
        <v>78.78</v>
      </c>
      <c r="G10" s="9" t="n">
        <v>7.4</v>
      </c>
      <c r="H10" s="9" t="n">
        <v>1</v>
      </c>
      <c r="I10" s="9"/>
      <c r="J10" s="9" t="s">
        <v>54</v>
      </c>
      <c r="K10" s="9"/>
      <c r="L10" s="9" t="n">
        <v>80</v>
      </c>
      <c r="M10" s="10" t="n">
        <f aca="false">F10+הנחות!$B$5*G10</f>
        <v>81</v>
      </c>
      <c r="N10" s="11" t="n">
        <f aca="false">ROUND(M10*הנחות!$B$4,0)</f>
        <v>1216782</v>
      </c>
      <c r="O10" s="11" t="n">
        <f aca="false">ROUND(N10*(1+הנחות!$B$6),0)</f>
        <v>1435803</v>
      </c>
      <c r="P10" s="11" t="n">
        <f aca="false">MIN(הנחות!$B$7*O10,הנחות!$B$8)</f>
        <v>287160.6</v>
      </c>
      <c r="Q10" s="11" t="n">
        <f aca="false">O10-P10</f>
        <v>1148642.4</v>
      </c>
      <c r="R10" s="11" t="n">
        <f aca="false">ROUND(הנחות!$B$9*(F10+הנחות!$B$10*G10),0)</f>
        <v>1979520</v>
      </c>
      <c r="S10" s="11" t="n">
        <f aca="false">R10-Q10</f>
        <v>830877.6</v>
      </c>
      <c r="T10" s="9" t="n">
        <f aca="false">RANK(S10,S$2:S$85)</f>
        <v>68</v>
      </c>
    </row>
    <row r="11" customFormat="false" ht="15" hidden="false" customHeight="false" outlineLevel="0" collapsed="false">
      <c r="A11" s="9" t="n">
        <v>1</v>
      </c>
      <c r="B11" s="9" t="n">
        <v>11</v>
      </c>
      <c r="C11" s="9" t="n">
        <v>2</v>
      </c>
      <c r="D11" s="9" t="s">
        <v>55</v>
      </c>
      <c r="E11" s="9" t="n">
        <v>4</v>
      </c>
      <c r="F11" s="9" t="n">
        <v>109.6</v>
      </c>
      <c r="G11" s="9" t="n">
        <v>13.01</v>
      </c>
      <c r="H11" s="9" t="n">
        <v>1</v>
      </c>
      <c r="I11" s="9"/>
      <c r="J11" s="9" t="s">
        <v>56</v>
      </c>
      <c r="K11" s="9"/>
      <c r="L11" s="9" t="n">
        <v>110</v>
      </c>
      <c r="M11" s="10" t="n">
        <f aca="false">F11+הנחות!$B$5*G11</f>
        <v>113.503</v>
      </c>
      <c r="N11" s="11" t="n">
        <f aca="false">ROUND(M11*הנחות!$B$4,0)</f>
        <v>1705042</v>
      </c>
      <c r="O11" s="11" t="n">
        <f aca="false">ROUND(N11*(1+הנחות!$B$6),0)</f>
        <v>2011950</v>
      </c>
      <c r="P11" s="11" t="n">
        <f aca="false">MIN(הנחות!$B$7*O11,הנחות!$B$8)</f>
        <v>300000</v>
      </c>
      <c r="Q11" s="11" t="n">
        <f aca="false">O11-P11</f>
        <v>1711950</v>
      </c>
      <c r="R11" s="11" t="n">
        <f aca="false">ROUND(הנחות!$B$9*(F11+הנחות!$B$10*G11),0)</f>
        <v>2786520</v>
      </c>
      <c r="S11" s="11" t="n">
        <f aca="false">R11-Q11</f>
        <v>1074570</v>
      </c>
      <c r="T11" s="9" t="n">
        <f aca="false">RANK(S11,S$2:S$85)</f>
        <v>7</v>
      </c>
    </row>
    <row r="12" customFormat="false" ht="15" hidden="false" customHeight="false" outlineLevel="0" collapsed="false">
      <c r="A12" s="9" t="n">
        <v>1</v>
      </c>
      <c r="B12" s="9" t="n">
        <v>12</v>
      </c>
      <c r="C12" s="9" t="n">
        <v>3</v>
      </c>
      <c r="D12" s="9" t="s">
        <v>46</v>
      </c>
      <c r="E12" s="9" t="n">
        <v>3</v>
      </c>
      <c r="F12" s="9" t="n">
        <v>87.77</v>
      </c>
      <c r="G12" s="9" t="n">
        <v>21.67</v>
      </c>
      <c r="H12" s="9" t="n">
        <v>2</v>
      </c>
      <c r="I12" s="9"/>
      <c r="J12" s="9" t="s">
        <v>47</v>
      </c>
      <c r="K12" s="9"/>
      <c r="L12" s="9" t="n">
        <v>110</v>
      </c>
      <c r="M12" s="10" t="n">
        <f aca="false">F12+הנחות!$B$5*G12</f>
        <v>94.271</v>
      </c>
      <c r="N12" s="11" t="n">
        <f aca="false">ROUND(M12*הנחות!$B$4,0)</f>
        <v>1416139</v>
      </c>
      <c r="O12" s="11" t="n">
        <f aca="false">ROUND(N12*(1+הנחות!$B$6),0)</f>
        <v>1671044</v>
      </c>
      <c r="P12" s="11" t="n">
        <f aca="false">MIN(הנחות!$B$7*O12,הנחות!$B$8)</f>
        <v>300000</v>
      </c>
      <c r="Q12" s="11" t="n">
        <f aca="false">O12-P12</f>
        <v>1371044</v>
      </c>
      <c r="R12" s="11" t="n">
        <f aca="false">ROUND(הנחות!$B$9*(F12+הנחות!$B$10*G12),0)</f>
        <v>2366520</v>
      </c>
      <c r="S12" s="11" t="n">
        <f aca="false">R12-Q12</f>
        <v>995476</v>
      </c>
      <c r="T12" s="9" t="n">
        <f aca="false">RANK(S12,S$2:S$85)</f>
        <v>40</v>
      </c>
    </row>
    <row r="13" customFormat="false" ht="15" hidden="false" customHeight="false" outlineLevel="0" collapsed="false">
      <c r="A13" s="9" t="n">
        <v>1</v>
      </c>
      <c r="B13" s="9" t="n">
        <v>13</v>
      </c>
      <c r="C13" s="9" t="n">
        <v>3</v>
      </c>
      <c r="D13" s="9" t="s">
        <v>48</v>
      </c>
      <c r="E13" s="9" t="n">
        <v>4</v>
      </c>
      <c r="F13" s="9" t="n">
        <v>107.95</v>
      </c>
      <c r="G13" s="9" t="n">
        <v>11.88</v>
      </c>
      <c r="H13" s="9" t="n">
        <v>1</v>
      </c>
      <c r="I13" s="9"/>
      <c r="J13" s="9" t="s">
        <v>49</v>
      </c>
      <c r="K13" s="9" t="s">
        <v>50</v>
      </c>
      <c r="L13" s="9" t="n">
        <v>110</v>
      </c>
      <c r="M13" s="10" t="n">
        <f aca="false">F13+הנחות!$B$5*G13</f>
        <v>111.514</v>
      </c>
      <c r="N13" s="11" t="n">
        <f aca="false">ROUND(M13*הנחות!$B$4,0)</f>
        <v>1675163</v>
      </c>
      <c r="O13" s="11" t="n">
        <f aca="false">ROUND(N13*(1+הנחות!$B$6),0)</f>
        <v>1976692</v>
      </c>
      <c r="P13" s="11" t="n">
        <f aca="false">MIN(הנחות!$B$7*O13,הנחות!$B$8)</f>
        <v>300000</v>
      </c>
      <c r="Q13" s="11" t="n">
        <f aca="false">O13-P13</f>
        <v>1676692</v>
      </c>
      <c r="R13" s="11" t="n">
        <f aca="false">ROUND(הנחות!$B$9*(F13+הנחות!$B$10*G13),0)</f>
        <v>2733360</v>
      </c>
      <c r="S13" s="11" t="n">
        <f aca="false">R13-Q13</f>
        <v>1056668</v>
      </c>
      <c r="T13" s="9" t="n">
        <f aca="false">RANK(S13,S$2:S$85)</f>
        <v>27</v>
      </c>
    </row>
    <row r="14" customFormat="false" ht="15" hidden="false" customHeight="false" outlineLevel="0" collapsed="false">
      <c r="A14" s="9" t="n">
        <v>1</v>
      </c>
      <c r="B14" s="9" t="n">
        <v>14</v>
      </c>
      <c r="C14" s="9" t="n">
        <v>3</v>
      </c>
      <c r="D14" s="9" t="s">
        <v>51</v>
      </c>
      <c r="E14" s="9" t="n">
        <v>3</v>
      </c>
      <c r="F14" s="9" t="n">
        <v>79.72</v>
      </c>
      <c r="G14" s="9" t="n">
        <v>13.6</v>
      </c>
      <c r="H14" s="9" t="n">
        <v>1</v>
      </c>
      <c r="I14" s="9"/>
      <c r="J14" s="9" t="s">
        <v>52</v>
      </c>
      <c r="K14" s="9" t="s">
        <v>50</v>
      </c>
      <c r="L14" s="9" t="n">
        <v>80</v>
      </c>
      <c r="M14" s="10" t="n">
        <f aca="false">F14+הנחות!$B$5*G14</f>
        <v>83.8</v>
      </c>
      <c r="N14" s="11" t="n">
        <f aca="false">ROUND(M14*הנחות!$B$4,0)</f>
        <v>1258844</v>
      </c>
      <c r="O14" s="11" t="n">
        <f aca="false">ROUND(N14*(1+הנחות!$B$6),0)</f>
        <v>1485436</v>
      </c>
      <c r="P14" s="11" t="n">
        <f aca="false">MIN(הנחות!$B$7*O14,הנחות!$B$8)</f>
        <v>297087.2</v>
      </c>
      <c r="Q14" s="11" t="n">
        <f aca="false">O14-P14</f>
        <v>1188348.8</v>
      </c>
      <c r="R14" s="11" t="n">
        <f aca="false">ROUND(הנחות!$B$9*(F14+הנחות!$B$10*G14),0)</f>
        <v>2076480</v>
      </c>
      <c r="S14" s="11" t="n">
        <f aca="false">R14-Q14</f>
        <v>888131.2</v>
      </c>
      <c r="T14" s="9" t="n">
        <f aca="false">RANK(S14,S$2:S$85)</f>
        <v>62</v>
      </c>
    </row>
    <row r="15" customFormat="false" ht="15" hidden="false" customHeight="false" outlineLevel="0" collapsed="false">
      <c r="A15" s="9" t="n">
        <v>1</v>
      </c>
      <c r="B15" s="9" t="n">
        <v>15</v>
      </c>
      <c r="C15" s="9" t="n">
        <v>3</v>
      </c>
      <c r="D15" s="9" t="s">
        <v>53</v>
      </c>
      <c r="E15" s="9" t="n">
        <v>3</v>
      </c>
      <c r="F15" s="9" t="n">
        <v>78.78</v>
      </c>
      <c r="G15" s="9" t="n">
        <v>7.4</v>
      </c>
      <c r="H15" s="9" t="n">
        <v>1</v>
      </c>
      <c r="I15" s="9"/>
      <c r="J15" s="9" t="s">
        <v>54</v>
      </c>
      <c r="K15" s="9"/>
      <c r="L15" s="9" t="n">
        <v>80</v>
      </c>
      <c r="M15" s="10" t="n">
        <f aca="false">F15+הנחות!$B$5*G15</f>
        <v>81</v>
      </c>
      <c r="N15" s="11" t="n">
        <f aca="false">ROUND(M15*הנחות!$B$4,0)</f>
        <v>1216782</v>
      </c>
      <c r="O15" s="11" t="n">
        <f aca="false">ROUND(N15*(1+הנחות!$B$6),0)</f>
        <v>1435803</v>
      </c>
      <c r="P15" s="11" t="n">
        <f aca="false">MIN(הנחות!$B$7*O15,הנחות!$B$8)</f>
        <v>287160.6</v>
      </c>
      <c r="Q15" s="11" t="n">
        <f aca="false">O15-P15</f>
        <v>1148642.4</v>
      </c>
      <c r="R15" s="11" t="n">
        <f aca="false">ROUND(הנחות!$B$9*(F15+הנחות!$B$10*G15),0)</f>
        <v>1979520</v>
      </c>
      <c r="S15" s="11" t="n">
        <f aca="false">R15-Q15</f>
        <v>830877.6</v>
      </c>
      <c r="T15" s="9" t="n">
        <f aca="false">RANK(S15,S$2:S$85)</f>
        <v>68</v>
      </c>
    </row>
    <row r="16" customFormat="false" ht="15" hidden="false" customHeight="false" outlineLevel="0" collapsed="false">
      <c r="A16" s="9" t="n">
        <v>1</v>
      </c>
      <c r="B16" s="9" t="n">
        <v>16</v>
      </c>
      <c r="C16" s="9" t="n">
        <v>3</v>
      </c>
      <c r="D16" s="9" t="s">
        <v>55</v>
      </c>
      <c r="E16" s="9" t="n">
        <v>4</v>
      </c>
      <c r="F16" s="9" t="n">
        <v>109.6</v>
      </c>
      <c r="G16" s="9" t="n">
        <v>13.01</v>
      </c>
      <c r="H16" s="9" t="n">
        <v>1</v>
      </c>
      <c r="I16" s="9"/>
      <c r="J16" s="9" t="s">
        <v>56</v>
      </c>
      <c r="K16" s="9"/>
      <c r="L16" s="9" t="n">
        <v>110</v>
      </c>
      <c r="M16" s="10" t="n">
        <f aca="false">F16+הנחות!$B$5*G16</f>
        <v>113.503</v>
      </c>
      <c r="N16" s="11" t="n">
        <f aca="false">ROUND(M16*הנחות!$B$4,0)</f>
        <v>1705042</v>
      </c>
      <c r="O16" s="11" t="n">
        <f aca="false">ROUND(N16*(1+הנחות!$B$6),0)</f>
        <v>2011950</v>
      </c>
      <c r="P16" s="11" t="n">
        <f aca="false">MIN(הנחות!$B$7*O16,הנחות!$B$8)</f>
        <v>300000</v>
      </c>
      <c r="Q16" s="11" t="n">
        <f aca="false">O16-P16</f>
        <v>1711950</v>
      </c>
      <c r="R16" s="11" t="n">
        <f aca="false">ROUND(הנחות!$B$9*(F16+הנחות!$B$10*G16),0)</f>
        <v>2786520</v>
      </c>
      <c r="S16" s="11" t="n">
        <f aca="false">R16-Q16</f>
        <v>1074570</v>
      </c>
      <c r="T16" s="9" t="n">
        <f aca="false">RANK(S16,S$2:S$85)</f>
        <v>7</v>
      </c>
    </row>
    <row r="17" customFormat="false" ht="15" hidden="false" customHeight="false" outlineLevel="0" collapsed="false">
      <c r="A17" s="9" t="n">
        <v>1</v>
      </c>
      <c r="B17" s="9" t="n">
        <v>17</v>
      </c>
      <c r="C17" s="9" t="n">
        <v>4</v>
      </c>
      <c r="D17" s="9" t="s">
        <v>46</v>
      </c>
      <c r="E17" s="9" t="n">
        <v>3</v>
      </c>
      <c r="F17" s="9" t="n">
        <v>87.77</v>
      </c>
      <c r="G17" s="9" t="n">
        <v>21.67</v>
      </c>
      <c r="H17" s="9" t="n">
        <v>2</v>
      </c>
      <c r="I17" s="9"/>
      <c r="J17" s="9" t="s">
        <v>47</v>
      </c>
      <c r="K17" s="9"/>
      <c r="L17" s="9" t="n">
        <v>110</v>
      </c>
      <c r="M17" s="10" t="n">
        <f aca="false">F17+הנחות!$B$5*G17</f>
        <v>94.271</v>
      </c>
      <c r="N17" s="11" t="n">
        <f aca="false">ROUND(M17*הנחות!$B$4,0)</f>
        <v>1416139</v>
      </c>
      <c r="O17" s="11" t="n">
        <f aca="false">ROUND(N17*(1+הנחות!$B$6),0)</f>
        <v>1671044</v>
      </c>
      <c r="P17" s="11" t="n">
        <f aca="false">MIN(הנחות!$B$7*O17,הנחות!$B$8)</f>
        <v>300000</v>
      </c>
      <c r="Q17" s="11" t="n">
        <f aca="false">O17-P17</f>
        <v>1371044</v>
      </c>
      <c r="R17" s="11" t="n">
        <f aca="false">ROUND(הנחות!$B$9*(F17+הנחות!$B$10*G17),0)</f>
        <v>2366520</v>
      </c>
      <c r="S17" s="11" t="n">
        <f aca="false">R17-Q17</f>
        <v>995476</v>
      </c>
      <c r="T17" s="9" t="n">
        <f aca="false">RANK(S17,S$2:S$85)</f>
        <v>40</v>
      </c>
    </row>
    <row r="18" customFormat="false" ht="15" hidden="false" customHeight="false" outlineLevel="0" collapsed="false">
      <c r="A18" s="9" t="n">
        <v>1</v>
      </c>
      <c r="B18" s="9" t="n">
        <v>18</v>
      </c>
      <c r="C18" s="9" t="n">
        <v>4</v>
      </c>
      <c r="D18" s="9" t="s">
        <v>48</v>
      </c>
      <c r="E18" s="9" t="n">
        <v>4</v>
      </c>
      <c r="F18" s="9" t="n">
        <v>107.95</v>
      </c>
      <c r="G18" s="9" t="n">
        <v>11.88</v>
      </c>
      <c r="H18" s="9" t="n">
        <v>1</v>
      </c>
      <c r="I18" s="9"/>
      <c r="J18" s="9" t="s">
        <v>49</v>
      </c>
      <c r="K18" s="9" t="s">
        <v>50</v>
      </c>
      <c r="L18" s="9" t="n">
        <v>110</v>
      </c>
      <c r="M18" s="10" t="n">
        <f aca="false">F18+הנחות!$B$5*G18</f>
        <v>111.514</v>
      </c>
      <c r="N18" s="11" t="n">
        <f aca="false">ROUND(M18*הנחות!$B$4,0)</f>
        <v>1675163</v>
      </c>
      <c r="O18" s="11" t="n">
        <f aca="false">ROUND(N18*(1+הנחות!$B$6),0)</f>
        <v>1976692</v>
      </c>
      <c r="P18" s="11" t="n">
        <f aca="false">MIN(הנחות!$B$7*O18,הנחות!$B$8)</f>
        <v>300000</v>
      </c>
      <c r="Q18" s="11" t="n">
        <f aca="false">O18-P18</f>
        <v>1676692</v>
      </c>
      <c r="R18" s="11" t="n">
        <f aca="false">ROUND(הנחות!$B$9*(F18+הנחות!$B$10*G18),0)</f>
        <v>2733360</v>
      </c>
      <c r="S18" s="11" t="n">
        <f aca="false">R18-Q18</f>
        <v>1056668</v>
      </c>
      <c r="T18" s="9" t="n">
        <f aca="false">RANK(S18,S$2:S$85)</f>
        <v>27</v>
      </c>
    </row>
    <row r="19" customFormat="false" ht="15" hidden="false" customHeight="false" outlineLevel="0" collapsed="false">
      <c r="A19" s="9" t="n">
        <v>1</v>
      </c>
      <c r="B19" s="9" t="n">
        <v>19</v>
      </c>
      <c r="C19" s="9" t="n">
        <v>4</v>
      </c>
      <c r="D19" s="9" t="s">
        <v>51</v>
      </c>
      <c r="E19" s="9" t="n">
        <v>3</v>
      </c>
      <c r="F19" s="9" t="n">
        <v>79.72</v>
      </c>
      <c r="G19" s="9" t="n">
        <v>13.6</v>
      </c>
      <c r="H19" s="9" t="n">
        <v>1</v>
      </c>
      <c r="I19" s="9"/>
      <c r="J19" s="9" t="s">
        <v>52</v>
      </c>
      <c r="K19" s="9" t="s">
        <v>50</v>
      </c>
      <c r="L19" s="9" t="n">
        <v>80</v>
      </c>
      <c r="M19" s="10" t="n">
        <f aca="false">F19+הנחות!$B$5*G19</f>
        <v>83.8</v>
      </c>
      <c r="N19" s="11" t="n">
        <f aca="false">ROUND(M19*הנחות!$B$4,0)</f>
        <v>1258844</v>
      </c>
      <c r="O19" s="11" t="n">
        <f aca="false">ROUND(N19*(1+הנחות!$B$6),0)</f>
        <v>1485436</v>
      </c>
      <c r="P19" s="11" t="n">
        <f aca="false">MIN(הנחות!$B$7*O19,הנחות!$B$8)</f>
        <v>297087.2</v>
      </c>
      <c r="Q19" s="11" t="n">
        <f aca="false">O19-P19</f>
        <v>1188348.8</v>
      </c>
      <c r="R19" s="11" t="n">
        <f aca="false">ROUND(הנחות!$B$9*(F19+הנחות!$B$10*G19),0)</f>
        <v>2076480</v>
      </c>
      <c r="S19" s="11" t="n">
        <f aca="false">R19-Q19</f>
        <v>888131.2</v>
      </c>
      <c r="T19" s="9" t="n">
        <f aca="false">RANK(S19,S$2:S$85)</f>
        <v>62</v>
      </c>
    </row>
    <row r="20" customFormat="false" ht="15" hidden="false" customHeight="false" outlineLevel="0" collapsed="false">
      <c r="A20" s="9" t="n">
        <v>1</v>
      </c>
      <c r="B20" s="9" t="n">
        <v>20</v>
      </c>
      <c r="C20" s="9" t="n">
        <v>4</v>
      </c>
      <c r="D20" s="9" t="s">
        <v>53</v>
      </c>
      <c r="E20" s="9" t="n">
        <v>3</v>
      </c>
      <c r="F20" s="9" t="n">
        <v>78.78</v>
      </c>
      <c r="G20" s="9" t="n">
        <v>7.4</v>
      </c>
      <c r="H20" s="9" t="n">
        <v>1</v>
      </c>
      <c r="I20" s="9"/>
      <c r="J20" s="9" t="s">
        <v>54</v>
      </c>
      <c r="K20" s="9"/>
      <c r="L20" s="9" t="n">
        <v>80</v>
      </c>
      <c r="M20" s="10" t="n">
        <f aca="false">F20+הנחות!$B$5*G20</f>
        <v>81</v>
      </c>
      <c r="N20" s="11" t="n">
        <f aca="false">ROUND(M20*הנחות!$B$4,0)</f>
        <v>1216782</v>
      </c>
      <c r="O20" s="11" t="n">
        <f aca="false">ROUND(N20*(1+הנחות!$B$6),0)</f>
        <v>1435803</v>
      </c>
      <c r="P20" s="11" t="n">
        <f aca="false">MIN(הנחות!$B$7*O20,הנחות!$B$8)</f>
        <v>287160.6</v>
      </c>
      <c r="Q20" s="11" t="n">
        <f aca="false">O20-P20</f>
        <v>1148642.4</v>
      </c>
      <c r="R20" s="11" t="n">
        <f aca="false">ROUND(הנחות!$B$9*(F20+הנחות!$B$10*G20),0)</f>
        <v>1979520</v>
      </c>
      <c r="S20" s="11" t="n">
        <f aca="false">R20-Q20</f>
        <v>830877.6</v>
      </c>
      <c r="T20" s="9" t="n">
        <f aca="false">RANK(S20,S$2:S$85)</f>
        <v>68</v>
      </c>
    </row>
    <row r="21" customFormat="false" ht="15" hidden="false" customHeight="false" outlineLevel="0" collapsed="false">
      <c r="A21" s="9" t="n">
        <v>1</v>
      </c>
      <c r="B21" s="9" t="n">
        <v>21</v>
      </c>
      <c r="C21" s="9" t="n">
        <v>4</v>
      </c>
      <c r="D21" s="9" t="s">
        <v>55</v>
      </c>
      <c r="E21" s="9" t="n">
        <v>4</v>
      </c>
      <c r="F21" s="9" t="n">
        <v>109.6</v>
      </c>
      <c r="G21" s="9" t="n">
        <v>13.01</v>
      </c>
      <c r="H21" s="9" t="n">
        <v>1</v>
      </c>
      <c r="I21" s="9"/>
      <c r="J21" s="9" t="s">
        <v>56</v>
      </c>
      <c r="K21" s="9"/>
      <c r="L21" s="9" t="n">
        <v>110</v>
      </c>
      <c r="M21" s="10" t="n">
        <f aca="false">F21+הנחות!$B$5*G21</f>
        <v>113.503</v>
      </c>
      <c r="N21" s="11" t="n">
        <f aca="false">ROUND(M21*הנחות!$B$4,0)</f>
        <v>1705042</v>
      </c>
      <c r="O21" s="11" t="n">
        <f aca="false">ROUND(N21*(1+הנחות!$B$6),0)</f>
        <v>2011950</v>
      </c>
      <c r="P21" s="11" t="n">
        <f aca="false">MIN(הנחות!$B$7*O21,הנחות!$B$8)</f>
        <v>300000</v>
      </c>
      <c r="Q21" s="11" t="n">
        <f aca="false">O21-P21</f>
        <v>1711950</v>
      </c>
      <c r="R21" s="11" t="n">
        <f aca="false">ROUND(הנחות!$B$9*(F21+הנחות!$B$10*G21),0)</f>
        <v>2786520</v>
      </c>
      <c r="S21" s="11" t="n">
        <f aca="false">R21-Q21</f>
        <v>1074570</v>
      </c>
      <c r="T21" s="9" t="n">
        <f aca="false">RANK(S21,S$2:S$85)</f>
        <v>7</v>
      </c>
    </row>
    <row r="22" customFormat="false" ht="15" hidden="false" customHeight="false" outlineLevel="0" collapsed="false">
      <c r="A22" s="9" t="n">
        <v>1</v>
      </c>
      <c r="B22" s="9" t="n">
        <v>22</v>
      </c>
      <c r="C22" s="9" t="n">
        <v>5</v>
      </c>
      <c r="D22" s="9" t="s">
        <v>46</v>
      </c>
      <c r="E22" s="9" t="n">
        <v>3</v>
      </c>
      <c r="F22" s="9" t="n">
        <v>87.77</v>
      </c>
      <c r="G22" s="9" t="n">
        <v>21.67</v>
      </c>
      <c r="H22" s="9" t="n">
        <v>2</v>
      </c>
      <c r="I22" s="9"/>
      <c r="J22" s="9" t="s">
        <v>47</v>
      </c>
      <c r="K22" s="9"/>
      <c r="L22" s="9" t="n">
        <v>110</v>
      </c>
      <c r="M22" s="10" t="n">
        <f aca="false">F22+הנחות!$B$5*G22</f>
        <v>94.271</v>
      </c>
      <c r="N22" s="11" t="n">
        <f aca="false">ROUND(M22*הנחות!$B$4,0)</f>
        <v>1416139</v>
      </c>
      <c r="O22" s="11" t="n">
        <f aca="false">ROUND(N22*(1+הנחות!$B$6),0)</f>
        <v>1671044</v>
      </c>
      <c r="P22" s="11" t="n">
        <f aca="false">MIN(הנחות!$B$7*O22,הנחות!$B$8)</f>
        <v>300000</v>
      </c>
      <c r="Q22" s="11" t="n">
        <f aca="false">O22-P22</f>
        <v>1371044</v>
      </c>
      <c r="R22" s="11" t="n">
        <f aca="false">ROUND(הנחות!$B$9*(F22+הנחות!$B$10*G22),0)</f>
        <v>2366520</v>
      </c>
      <c r="S22" s="11" t="n">
        <f aca="false">R22-Q22</f>
        <v>995476</v>
      </c>
      <c r="T22" s="9" t="n">
        <f aca="false">RANK(S22,S$2:S$85)</f>
        <v>40</v>
      </c>
    </row>
    <row r="23" customFormat="false" ht="15" hidden="false" customHeight="false" outlineLevel="0" collapsed="false">
      <c r="A23" s="9" t="n">
        <v>1</v>
      </c>
      <c r="B23" s="9" t="n">
        <v>23</v>
      </c>
      <c r="C23" s="9" t="n">
        <v>5</v>
      </c>
      <c r="D23" s="9" t="s">
        <v>48</v>
      </c>
      <c r="E23" s="9" t="n">
        <v>4</v>
      </c>
      <c r="F23" s="9" t="n">
        <v>107.95</v>
      </c>
      <c r="G23" s="9" t="n">
        <v>11.88</v>
      </c>
      <c r="H23" s="9" t="n">
        <v>1</v>
      </c>
      <c r="I23" s="9"/>
      <c r="J23" s="9" t="s">
        <v>49</v>
      </c>
      <c r="K23" s="9" t="s">
        <v>50</v>
      </c>
      <c r="L23" s="9" t="n">
        <v>110</v>
      </c>
      <c r="M23" s="10" t="n">
        <f aca="false">F23+הנחות!$B$5*G23</f>
        <v>111.514</v>
      </c>
      <c r="N23" s="11" t="n">
        <f aca="false">ROUND(M23*הנחות!$B$4,0)</f>
        <v>1675163</v>
      </c>
      <c r="O23" s="11" t="n">
        <f aca="false">ROUND(N23*(1+הנחות!$B$6),0)</f>
        <v>1976692</v>
      </c>
      <c r="P23" s="11" t="n">
        <f aca="false">MIN(הנחות!$B$7*O23,הנחות!$B$8)</f>
        <v>300000</v>
      </c>
      <c r="Q23" s="11" t="n">
        <f aca="false">O23-P23</f>
        <v>1676692</v>
      </c>
      <c r="R23" s="11" t="n">
        <f aca="false">ROUND(הנחות!$B$9*(F23+הנחות!$B$10*G23),0)</f>
        <v>2733360</v>
      </c>
      <c r="S23" s="11" t="n">
        <f aca="false">R23-Q23</f>
        <v>1056668</v>
      </c>
      <c r="T23" s="9" t="n">
        <f aca="false">RANK(S23,S$2:S$85)</f>
        <v>27</v>
      </c>
    </row>
    <row r="24" customFormat="false" ht="15" hidden="false" customHeight="false" outlineLevel="0" collapsed="false">
      <c r="A24" s="9" t="n">
        <v>1</v>
      </c>
      <c r="B24" s="9" t="n">
        <v>24</v>
      </c>
      <c r="C24" s="9" t="n">
        <v>5</v>
      </c>
      <c r="D24" s="9" t="s">
        <v>51</v>
      </c>
      <c r="E24" s="9" t="n">
        <v>3</v>
      </c>
      <c r="F24" s="9" t="n">
        <v>79.72</v>
      </c>
      <c r="G24" s="9" t="n">
        <v>13.6</v>
      </c>
      <c r="H24" s="9" t="n">
        <v>1</v>
      </c>
      <c r="I24" s="9"/>
      <c r="J24" s="9" t="s">
        <v>52</v>
      </c>
      <c r="K24" s="9" t="s">
        <v>50</v>
      </c>
      <c r="L24" s="9" t="n">
        <v>80</v>
      </c>
      <c r="M24" s="10" t="n">
        <f aca="false">F24+הנחות!$B$5*G24</f>
        <v>83.8</v>
      </c>
      <c r="N24" s="11" t="n">
        <f aca="false">ROUND(M24*הנחות!$B$4,0)</f>
        <v>1258844</v>
      </c>
      <c r="O24" s="11" t="n">
        <f aca="false">ROUND(N24*(1+הנחות!$B$6),0)</f>
        <v>1485436</v>
      </c>
      <c r="P24" s="11" t="n">
        <f aca="false">MIN(הנחות!$B$7*O24,הנחות!$B$8)</f>
        <v>297087.2</v>
      </c>
      <c r="Q24" s="11" t="n">
        <f aca="false">O24-P24</f>
        <v>1188348.8</v>
      </c>
      <c r="R24" s="11" t="n">
        <f aca="false">ROUND(הנחות!$B$9*(F24+הנחות!$B$10*G24),0)</f>
        <v>2076480</v>
      </c>
      <c r="S24" s="11" t="n">
        <f aca="false">R24-Q24</f>
        <v>888131.2</v>
      </c>
      <c r="T24" s="9" t="n">
        <f aca="false">RANK(S24,S$2:S$85)</f>
        <v>62</v>
      </c>
    </row>
    <row r="25" customFormat="false" ht="15" hidden="false" customHeight="false" outlineLevel="0" collapsed="false">
      <c r="A25" s="9" t="n">
        <v>1</v>
      </c>
      <c r="B25" s="9" t="n">
        <v>25</v>
      </c>
      <c r="C25" s="9" t="n">
        <v>5</v>
      </c>
      <c r="D25" s="9" t="s">
        <v>53</v>
      </c>
      <c r="E25" s="9" t="n">
        <v>3</v>
      </c>
      <c r="F25" s="9" t="n">
        <v>78.78</v>
      </c>
      <c r="G25" s="9" t="n">
        <v>7.4</v>
      </c>
      <c r="H25" s="9" t="n">
        <v>1</v>
      </c>
      <c r="I25" s="9"/>
      <c r="J25" s="9" t="s">
        <v>54</v>
      </c>
      <c r="K25" s="9"/>
      <c r="L25" s="9" t="n">
        <v>80</v>
      </c>
      <c r="M25" s="10" t="n">
        <f aca="false">F25+הנחות!$B$5*G25</f>
        <v>81</v>
      </c>
      <c r="N25" s="11" t="n">
        <f aca="false">ROUND(M25*הנחות!$B$4,0)</f>
        <v>1216782</v>
      </c>
      <c r="O25" s="11" t="n">
        <f aca="false">ROUND(N25*(1+הנחות!$B$6),0)</f>
        <v>1435803</v>
      </c>
      <c r="P25" s="11" t="n">
        <f aca="false">MIN(הנחות!$B$7*O25,הנחות!$B$8)</f>
        <v>287160.6</v>
      </c>
      <c r="Q25" s="11" t="n">
        <f aca="false">O25-P25</f>
        <v>1148642.4</v>
      </c>
      <c r="R25" s="11" t="n">
        <f aca="false">ROUND(הנחות!$B$9*(F25+הנחות!$B$10*G25),0)</f>
        <v>1979520</v>
      </c>
      <c r="S25" s="11" t="n">
        <f aca="false">R25-Q25</f>
        <v>830877.6</v>
      </c>
      <c r="T25" s="9" t="n">
        <f aca="false">RANK(S25,S$2:S$85)</f>
        <v>68</v>
      </c>
    </row>
    <row r="26" customFormat="false" ht="15" hidden="false" customHeight="false" outlineLevel="0" collapsed="false">
      <c r="A26" s="9" t="n">
        <v>1</v>
      </c>
      <c r="B26" s="9" t="n">
        <v>26</v>
      </c>
      <c r="C26" s="9" t="n">
        <v>5</v>
      </c>
      <c r="D26" s="9" t="s">
        <v>55</v>
      </c>
      <c r="E26" s="9" t="n">
        <v>4</v>
      </c>
      <c r="F26" s="9" t="n">
        <v>109.6</v>
      </c>
      <c r="G26" s="9" t="n">
        <v>13.01</v>
      </c>
      <c r="H26" s="9" t="n">
        <v>1</v>
      </c>
      <c r="I26" s="9"/>
      <c r="J26" s="9" t="s">
        <v>56</v>
      </c>
      <c r="K26" s="9"/>
      <c r="L26" s="9" t="n">
        <v>110</v>
      </c>
      <c r="M26" s="10" t="n">
        <f aca="false">F26+הנחות!$B$5*G26</f>
        <v>113.503</v>
      </c>
      <c r="N26" s="11" t="n">
        <f aca="false">ROUND(M26*הנחות!$B$4,0)</f>
        <v>1705042</v>
      </c>
      <c r="O26" s="11" t="n">
        <f aca="false">ROUND(N26*(1+הנחות!$B$6),0)</f>
        <v>2011950</v>
      </c>
      <c r="P26" s="11" t="n">
        <f aca="false">MIN(הנחות!$B$7*O26,הנחות!$B$8)</f>
        <v>300000</v>
      </c>
      <c r="Q26" s="11" t="n">
        <f aca="false">O26-P26</f>
        <v>1711950</v>
      </c>
      <c r="R26" s="11" t="n">
        <f aca="false">ROUND(הנחות!$B$9*(F26+הנחות!$B$10*G26),0)</f>
        <v>2786520</v>
      </c>
      <c r="S26" s="11" t="n">
        <f aca="false">R26-Q26</f>
        <v>1074570</v>
      </c>
      <c r="T26" s="9" t="n">
        <f aca="false">RANK(S26,S$2:S$85)</f>
        <v>7</v>
      </c>
    </row>
    <row r="27" customFormat="false" ht="15" hidden="false" customHeight="false" outlineLevel="0" collapsed="false">
      <c r="A27" s="9" t="n">
        <v>1</v>
      </c>
      <c r="B27" s="9" t="n">
        <v>27</v>
      </c>
      <c r="C27" s="9" t="n">
        <v>6</v>
      </c>
      <c r="D27" s="9" t="s">
        <v>46</v>
      </c>
      <c r="E27" s="9" t="n">
        <v>3</v>
      </c>
      <c r="F27" s="9" t="n">
        <v>87.77</v>
      </c>
      <c r="G27" s="9" t="n">
        <v>21.67</v>
      </c>
      <c r="H27" s="9" t="n">
        <v>2</v>
      </c>
      <c r="I27" s="9"/>
      <c r="J27" s="9" t="s">
        <v>47</v>
      </c>
      <c r="K27" s="9"/>
      <c r="L27" s="9" t="n">
        <v>110</v>
      </c>
      <c r="M27" s="10" t="n">
        <f aca="false">F27+הנחות!$B$5*G27</f>
        <v>94.271</v>
      </c>
      <c r="N27" s="11" t="n">
        <f aca="false">ROUND(M27*הנחות!$B$4,0)</f>
        <v>1416139</v>
      </c>
      <c r="O27" s="11" t="n">
        <f aca="false">ROUND(N27*(1+הנחות!$B$6),0)</f>
        <v>1671044</v>
      </c>
      <c r="P27" s="11" t="n">
        <f aca="false">MIN(הנחות!$B$7*O27,הנחות!$B$8)</f>
        <v>300000</v>
      </c>
      <c r="Q27" s="11" t="n">
        <f aca="false">O27-P27</f>
        <v>1371044</v>
      </c>
      <c r="R27" s="11" t="n">
        <f aca="false">ROUND(הנחות!$B$9*(F27+הנחות!$B$10*G27),0)</f>
        <v>2366520</v>
      </c>
      <c r="S27" s="11" t="n">
        <f aca="false">R27-Q27</f>
        <v>995476</v>
      </c>
      <c r="T27" s="9" t="n">
        <f aca="false">RANK(S27,S$2:S$85)</f>
        <v>40</v>
      </c>
    </row>
    <row r="28" customFormat="false" ht="15" hidden="false" customHeight="false" outlineLevel="0" collapsed="false">
      <c r="A28" s="9" t="n">
        <v>1</v>
      </c>
      <c r="B28" s="9" t="n">
        <v>28</v>
      </c>
      <c r="C28" s="9" t="n">
        <v>6</v>
      </c>
      <c r="D28" s="9" t="s">
        <v>48</v>
      </c>
      <c r="E28" s="9" t="n">
        <v>4</v>
      </c>
      <c r="F28" s="9" t="n">
        <v>107.95</v>
      </c>
      <c r="G28" s="9" t="n">
        <v>11.88</v>
      </c>
      <c r="H28" s="9" t="n">
        <v>1</v>
      </c>
      <c r="I28" s="9"/>
      <c r="J28" s="9" t="s">
        <v>49</v>
      </c>
      <c r="K28" s="9" t="s">
        <v>50</v>
      </c>
      <c r="L28" s="9" t="n">
        <v>110</v>
      </c>
      <c r="M28" s="10" t="n">
        <f aca="false">F28+הנחות!$B$5*G28</f>
        <v>111.514</v>
      </c>
      <c r="N28" s="11" t="n">
        <f aca="false">ROUND(M28*הנחות!$B$4,0)</f>
        <v>1675163</v>
      </c>
      <c r="O28" s="11" t="n">
        <f aca="false">ROUND(N28*(1+הנחות!$B$6),0)</f>
        <v>1976692</v>
      </c>
      <c r="P28" s="11" t="n">
        <f aca="false">MIN(הנחות!$B$7*O28,הנחות!$B$8)</f>
        <v>300000</v>
      </c>
      <c r="Q28" s="11" t="n">
        <f aca="false">O28-P28</f>
        <v>1676692</v>
      </c>
      <c r="R28" s="11" t="n">
        <f aca="false">ROUND(הנחות!$B$9*(F28+הנחות!$B$10*G28),0)</f>
        <v>2733360</v>
      </c>
      <c r="S28" s="11" t="n">
        <f aca="false">R28-Q28</f>
        <v>1056668</v>
      </c>
      <c r="T28" s="9" t="n">
        <f aca="false">RANK(S28,S$2:S$85)</f>
        <v>27</v>
      </c>
    </row>
    <row r="29" customFormat="false" ht="15" hidden="false" customHeight="false" outlineLevel="0" collapsed="false">
      <c r="A29" s="9" t="n">
        <v>1</v>
      </c>
      <c r="B29" s="9" t="n">
        <v>29</v>
      </c>
      <c r="C29" s="9" t="n">
        <v>6</v>
      </c>
      <c r="D29" s="9" t="s">
        <v>51</v>
      </c>
      <c r="E29" s="9" t="n">
        <v>3</v>
      </c>
      <c r="F29" s="9" t="n">
        <v>79.72</v>
      </c>
      <c r="G29" s="9" t="n">
        <v>13.6</v>
      </c>
      <c r="H29" s="9" t="n">
        <v>1</v>
      </c>
      <c r="I29" s="9"/>
      <c r="J29" s="9" t="s">
        <v>52</v>
      </c>
      <c r="K29" s="9" t="s">
        <v>50</v>
      </c>
      <c r="L29" s="9" t="n">
        <v>80</v>
      </c>
      <c r="M29" s="10" t="n">
        <f aca="false">F29+הנחות!$B$5*G29</f>
        <v>83.8</v>
      </c>
      <c r="N29" s="11" t="n">
        <f aca="false">ROUND(M29*הנחות!$B$4,0)</f>
        <v>1258844</v>
      </c>
      <c r="O29" s="11" t="n">
        <f aca="false">ROUND(N29*(1+הנחות!$B$6),0)</f>
        <v>1485436</v>
      </c>
      <c r="P29" s="11" t="n">
        <f aca="false">MIN(הנחות!$B$7*O29,הנחות!$B$8)</f>
        <v>297087.2</v>
      </c>
      <c r="Q29" s="11" t="n">
        <f aca="false">O29-P29</f>
        <v>1188348.8</v>
      </c>
      <c r="R29" s="11" t="n">
        <f aca="false">ROUND(הנחות!$B$9*(F29+הנחות!$B$10*G29),0)</f>
        <v>2076480</v>
      </c>
      <c r="S29" s="11" t="n">
        <f aca="false">R29-Q29</f>
        <v>888131.2</v>
      </c>
      <c r="T29" s="9" t="n">
        <f aca="false">RANK(S29,S$2:S$85)</f>
        <v>62</v>
      </c>
    </row>
    <row r="30" customFormat="false" ht="15" hidden="false" customHeight="false" outlineLevel="0" collapsed="false">
      <c r="A30" s="9" t="n">
        <v>1</v>
      </c>
      <c r="B30" s="9" t="n">
        <v>30</v>
      </c>
      <c r="C30" s="9" t="n">
        <v>6</v>
      </c>
      <c r="D30" s="9" t="s">
        <v>53</v>
      </c>
      <c r="E30" s="9" t="n">
        <v>3</v>
      </c>
      <c r="F30" s="9" t="n">
        <v>78.78</v>
      </c>
      <c r="G30" s="9" t="n">
        <v>7.4</v>
      </c>
      <c r="H30" s="9" t="n">
        <v>1</v>
      </c>
      <c r="I30" s="9"/>
      <c r="J30" s="9" t="s">
        <v>54</v>
      </c>
      <c r="K30" s="9"/>
      <c r="L30" s="9" t="n">
        <v>80</v>
      </c>
      <c r="M30" s="10" t="n">
        <f aca="false">F30+הנחות!$B$5*G30</f>
        <v>81</v>
      </c>
      <c r="N30" s="11" t="n">
        <f aca="false">ROUND(M30*הנחות!$B$4,0)</f>
        <v>1216782</v>
      </c>
      <c r="O30" s="11" t="n">
        <f aca="false">ROUND(N30*(1+הנחות!$B$6),0)</f>
        <v>1435803</v>
      </c>
      <c r="P30" s="11" t="n">
        <f aca="false">MIN(הנחות!$B$7*O30,הנחות!$B$8)</f>
        <v>287160.6</v>
      </c>
      <c r="Q30" s="11" t="n">
        <f aca="false">O30-P30</f>
        <v>1148642.4</v>
      </c>
      <c r="R30" s="11" t="n">
        <f aca="false">ROUND(הנחות!$B$9*(F30+הנחות!$B$10*G30),0)</f>
        <v>1979520</v>
      </c>
      <c r="S30" s="11" t="n">
        <f aca="false">R30-Q30</f>
        <v>830877.6</v>
      </c>
      <c r="T30" s="9" t="n">
        <f aca="false">RANK(S30,S$2:S$85)</f>
        <v>68</v>
      </c>
    </row>
    <row r="31" customFormat="false" ht="15" hidden="false" customHeight="false" outlineLevel="0" collapsed="false">
      <c r="A31" s="9" t="n">
        <v>1</v>
      </c>
      <c r="B31" s="9" t="n">
        <v>32</v>
      </c>
      <c r="C31" s="9" t="n">
        <v>7</v>
      </c>
      <c r="D31" s="9" t="s">
        <v>46</v>
      </c>
      <c r="E31" s="9" t="n">
        <v>3</v>
      </c>
      <c r="F31" s="9" t="n">
        <v>87.77</v>
      </c>
      <c r="G31" s="9" t="n">
        <v>21.67</v>
      </c>
      <c r="H31" s="9" t="n">
        <v>2</v>
      </c>
      <c r="I31" s="9"/>
      <c r="J31" s="9" t="s">
        <v>47</v>
      </c>
      <c r="K31" s="9"/>
      <c r="L31" s="9" t="n">
        <v>110</v>
      </c>
      <c r="M31" s="10" t="n">
        <f aca="false">F31+הנחות!$B$5*G31</f>
        <v>94.271</v>
      </c>
      <c r="N31" s="11" t="n">
        <f aca="false">ROUND(M31*הנחות!$B$4,0)</f>
        <v>1416139</v>
      </c>
      <c r="O31" s="11" t="n">
        <f aca="false">ROUND(N31*(1+הנחות!$B$6),0)</f>
        <v>1671044</v>
      </c>
      <c r="P31" s="11" t="n">
        <f aca="false">MIN(הנחות!$B$7*O31,הנחות!$B$8)</f>
        <v>300000</v>
      </c>
      <c r="Q31" s="11" t="n">
        <f aca="false">O31-P31</f>
        <v>1371044</v>
      </c>
      <c r="R31" s="11" t="n">
        <f aca="false">ROUND(הנחות!$B$9*(F31+הנחות!$B$10*G31),0)</f>
        <v>2366520</v>
      </c>
      <c r="S31" s="11" t="n">
        <f aca="false">R31-Q31</f>
        <v>995476</v>
      </c>
      <c r="T31" s="9" t="n">
        <f aca="false">RANK(S31,S$2:S$85)</f>
        <v>40</v>
      </c>
    </row>
    <row r="32" customFormat="false" ht="15" hidden="false" customHeight="false" outlineLevel="0" collapsed="false">
      <c r="A32" s="9" t="n">
        <v>1</v>
      </c>
      <c r="B32" s="9" t="n">
        <v>33</v>
      </c>
      <c r="C32" s="9" t="n">
        <v>7</v>
      </c>
      <c r="D32" s="9" t="s">
        <v>48</v>
      </c>
      <c r="E32" s="9" t="n">
        <v>4</v>
      </c>
      <c r="F32" s="9" t="n">
        <v>107.95</v>
      </c>
      <c r="G32" s="9" t="n">
        <v>11.88</v>
      </c>
      <c r="H32" s="9" t="n">
        <v>1</v>
      </c>
      <c r="I32" s="9"/>
      <c r="J32" s="9" t="s">
        <v>49</v>
      </c>
      <c r="K32" s="9" t="s">
        <v>50</v>
      </c>
      <c r="L32" s="9" t="n">
        <v>110</v>
      </c>
      <c r="M32" s="10" t="n">
        <f aca="false">F32+הנחות!$B$5*G32</f>
        <v>111.514</v>
      </c>
      <c r="N32" s="11" t="n">
        <f aca="false">ROUND(M32*הנחות!$B$4,0)</f>
        <v>1675163</v>
      </c>
      <c r="O32" s="11" t="n">
        <f aca="false">ROUND(N32*(1+הנחות!$B$6),0)</f>
        <v>1976692</v>
      </c>
      <c r="P32" s="11" t="n">
        <f aca="false">MIN(הנחות!$B$7*O32,הנחות!$B$8)</f>
        <v>300000</v>
      </c>
      <c r="Q32" s="11" t="n">
        <f aca="false">O32-P32</f>
        <v>1676692</v>
      </c>
      <c r="R32" s="11" t="n">
        <f aca="false">ROUND(הנחות!$B$9*(F32+הנחות!$B$10*G32),0)</f>
        <v>2733360</v>
      </c>
      <c r="S32" s="11" t="n">
        <f aca="false">R32-Q32</f>
        <v>1056668</v>
      </c>
      <c r="T32" s="9" t="n">
        <f aca="false">RANK(S32,S$2:S$85)</f>
        <v>27</v>
      </c>
    </row>
    <row r="33" customFormat="false" ht="15" hidden="false" customHeight="false" outlineLevel="0" collapsed="false">
      <c r="A33" s="9" t="n">
        <v>2</v>
      </c>
      <c r="B33" s="9" t="n">
        <v>1</v>
      </c>
      <c r="C33" s="9" t="n">
        <v>1</v>
      </c>
      <c r="D33" s="9" t="s">
        <v>57</v>
      </c>
      <c r="E33" s="9" t="n">
        <v>4</v>
      </c>
      <c r="F33" s="9" t="n">
        <v>107.49</v>
      </c>
      <c r="G33" s="9" t="n">
        <v>11.89</v>
      </c>
      <c r="H33" s="9" t="n">
        <v>1</v>
      </c>
      <c r="I33" s="9"/>
      <c r="J33" s="9" t="s">
        <v>47</v>
      </c>
      <c r="K33" s="9"/>
      <c r="L33" s="9" t="n">
        <v>110</v>
      </c>
      <c r="M33" s="10" t="n">
        <f aca="false">F33+הנחות!$B$5*G33</f>
        <v>111.057</v>
      </c>
      <c r="N33" s="11" t="n">
        <f aca="false">ROUND(M33*הנחות!$B$4,0)</f>
        <v>1668298</v>
      </c>
      <c r="O33" s="11" t="n">
        <f aca="false">ROUND(N33*(1+הנחות!$B$6),0)</f>
        <v>1968592</v>
      </c>
      <c r="P33" s="11" t="n">
        <f aca="false">MIN(הנחות!$B$7*O33,הנחות!$B$8)</f>
        <v>300000</v>
      </c>
      <c r="Q33" s="11" t="n">
        <f aca="false">O33-P33</f>
        <v>1668592</v>
      </c>
      <c r="R33" s="11" t="n">
        <f aca="false">ROUND(הנחות!$B$9*(F33+הנחות!$B$10*G33),0)</f>
        <v>2722440</v>
      </c>
      <c r="S33" s="11" t="n">
        <f aca="false">R33-Q33</f>
        <v>1053848</v>
      </c>
      <c r="T33" s="9" t="n">
        <f aca="false">RANK(S33,S$2:S$85)</f>
        <v>34</v>
      </c>
    </row>
    <row r="34" customFormat="false" ht="15" hidden="false" customHeight="false" outlineLevel="0" collapsed="false">
      <c r="A34" s="9" t="n">
        <v>2</v>
      </c>
      <c r="B34" s="9" t="n">
        <v>2</v>
      </c>
      <c r="C34" s="9" t="n">
        <v>1</v>
      </c>
      <c r="D34" s="9" t="s">
        <v>58</v>
      </c>
      <c r="E34" s="9" t="n">
        <v>3</v>
      </c>
      <c r="F34" s="9" t="n">
        <v>87.66</v>
      </c>
      <c r="G34" s="9" t="n">
        <v>21.75</v>
      </c>
      <c r="H34" s="9" t="n">
        <v>2</v>
      </c>
      <c r="I34" s="9"/>
      <c r="J34" s="9" t="s">
        <v>49</v>
      </c>
      <c r="K34" s="9" t="s">
        <v>59</v>
      </c>
      <c r="L34" s="9" t="n">
        <v>110</v>
      </c>
      <c r="M34" s="10" t="n">
        <f aca="false">F34+הנחות!$B$5*G34</f>
        <v>94.185</v>
      </c>
      <c r="N34" s="11" t="n">
        <f aca="false">ROUND(M34*הנחות!$B$4,0)</f>
        <v>1414847</v>
      </c>
      <c r="O34" s="11" t="n">
        <f aca="false">ROUND(N34*(1+הנחות!$B$6),0)</f>
        <v>1669519</v>
      </c>
      <c r="P34" s="11" t="n">
        <f aca="false">MIN(הנחות!$B$7*O34,הנחות!$B$8)</f>
        <v>300000</v>
      </c>
      <c r="Q34" s="11" t="n">
        <f aca="false">O34-P34</f>
        <v>1369519</v>
      </c>
      <c r="R34" s="11" t="n">
        <f aca="false">ROUND(הנחות!$B$9*(F34+הנחות!$B$10*G34),0)</f>
        <v>2364840</v>
      </c>
      <c r="S34" s="11" t="n">
        <f aca="false">R34-Q34</f>
        <v>995321</v>
      </c>
      <c r="T34" s="9" t="n">
        <f aca="false">RANK(S34,S$2:S$85)</f>
        <v>47</v>
      </c>
    </row>
    <row r="35" customFormat="false" ht="15" hidden="false" customHeight="false" outlineLevel="0" collapsed="false">
      <c r="A35" s="9" t="n">
        <v>2</v>
      </c>
      <c r="B35" s="9" t="n">
        <v>3</v>
      </c>
      <c r="C35" s="9" t="n">
        <v>1</v>
      </c>
      <c r="D35" s="9" t="s">
        <v>60</v>
      </c>
      <c r="E35" s="9" t="n">
        <v>4</v>
      </c>
      <c r="F35" s="9" t="n">
        <v>109.62</v>
      </c>
      <c r="G35" s="9" t="n">
        <v>12.91</v>
      </c>
      <c r="H35" s="9" t="n">
        <v>1</v>
      </c>
      <c r="I35" s="9"/>
      <c r="J35" s="9" t="s">
        <v>52</v>
      </c>
      <c r="K35" s="9" t="s">
        <v>59</v>
      </c>
      <c r="L35" s="9" t="n">
        <v>110</v>
      </c>
      <c r="M35" s="10" t="n">
        <f aca="false">F35+הנחות!$B$5*G35</f>
        <v>113.493</v>
      </c>
      <c r="N35" s="11" t="n">
        <f aca="false">ROUND(M35*הנחות!$B$4,0)</f>
        <v>1704892</v>
      </c>
      <c r="O35" s="11" t="n">
        <f aca="false">ROUND(N35*(1+הנחות!$B$6),0)</f>
        <v>2011773</v>
      </c>
      <c r="P35" s="11" t="n">
        <f aca="false">MIN(הנחות!$B$7*O35,הנחות!$B$8)</f>
        <v>300000</v>
      </c>
      <c r="Q35" s="11" t="n">
        <f aca="false">O35-P35</f>
        <v>1711773</v>
      </c>
      <c r="R35" s="11" t="n">
        <f aca="false">ROUND(הנחות!$B$9*(F35+הנחות!$B$10*G35),0)</f>
        <v>2785800</v>
      </c>
      <c r="S35" s="11" t="n">
        <f aca="false">R35-Q35</f>
        <v>1074027</v>
      </c>
      <c r="T35" s="9" t="n">
        <f aca="false">RANK(S35,S$2:S$85)</f>
        <v>12</v>
      </c>
    </row>
    <row r="36" customFormat="false" ht="15" hidden="false" customHeight="false" outlineLevel="0" collapsed="false">
      <c r="A36" s="9" t="n">
        <v>2</v>
      </c>
      <c r="B36" s="9" t="n">
        <v>4</v>
      </c>
      <c r="C36" s="9" t="n">
        <v>1</v>
      </c>
      <c r="D36" s="9" t="s">
        <v>61</v>
      </c>
      <c r="E36" s="9" t="n">
        <v>3</v>
      </c>
      <c r="F36" s="9" t="n">
        <v>78.65</v>
      </c>
      <c r="G36" s="9" t="n">
        <v>7.35</v>
      </c>
      <c r="H36" s="9" t="n">
        <v>1</v>
      </c>
      <c r="I36" s="9"/>
      <c r="J36" s="9" t="s">
        <v>54</v>
      </c>
      <c r="K36" s="9"/>
      <c r="L36" s="9" t="n">
        <v>80</v>
      </c>
      <c r="M36" s="10" t="n">
        <f aca="false">F36+הנחות!$B$5*G36</f>
        <v>80.855</v>
      </c>
      <c r="N36" s="11" t="n">
        <f aca="false">ROUND(M36*הנחות!$B$4,0)</f>
        <v>1214604</v>
      </c>
      <c r="O36" s="11" t="n">
        <f aca="false">ROUND(N36*(1+הנחות!$B$6),0)</f>
        <v>1433233</v>
      </c>
      <c r="P36" s="11" t="n">
        <f aca="false">MIN(הנחות!$B$7*O36,הנחות!$B$8)</f>
        <v>286646.6</v>
      </c>
      <c r="Q36" s="11" t="n">
        <f aca="false">O36-P36</f>
        <v>1146586.4</v>
      </c>
      <c r="R36" s="11" t="n">
        <f aca="false">ROUND(הנחות!$B$9*(F36+הנחות!$B$10*G36),0)</f>
        <v>1975800</v>
      </c>
      <c r="S36" s="11" t="n">
        <f aca="false">R36-Q36</f>
        <v>829213.6</v>
      </c>
      <c r="T36" s="9" t="n">
        <f aca="false">RANK(S36,S$2:S$85)</f>
        <v>79</v>
      </c>
    </row>
    <row r="37" customFormat="false" ht="15" hidden="false" customHeight="false" outlineLevel="0" collapsed="false">
      <c r="A37" s="9" t="n">
        <v>2</v>
      </c>
      <c r="B37" s="9" t="n">
        <v>5</v>
      </c>
      <c r="C37" s="9" t="n">
        <v>1</v>
      </c>
      <c r="D37" s="9" t="s">
        <v>62</v>
      </c>
      <c r="E37" s="9" t="n">
        <v>3</v>
      </c>
      <c r="F37" s="9" t="n">
        <v>79.9</v>
      </c>
      <c r="G37" s="9" t="n">
        <v>13.83</v>
      </c>
      <c r="H37" s="9" t="n">
        <v>1</v>
      </c>
      <c r="I37" s="9"/>
      <c r="J37" s="9" t="s">
        <v>56</v>
      </c>
      <c r="K37" s="9"/>
      <c r="L37" s="9" t="n">
        <v>80</v>
      </c>
      <c r="M37" s="10" t="n">
        <f aca="false">F37+הנחות!$B$5*G37</f>
        <v>84.049</v>
      </c>
      <c r="N37" s="11" t="n">
        <f aca="false">ROUND(M37*הנחות!$B$4,0)</f>
        <v>1262584</v>
      </c>
      <c r="O37" s="11" t="n">
        <f aca="false">ROUND(N37*(1+הנחות!$B$6),0)</f>
        <v>1489849</v>
      </c>
      <c r="P37" s="11" t="n">
        <f aca="false">MIN(הנחות!$B$7*O37,הנחות!$B$8)</f>
        <v>297969.8</v>
      </c>
      <c r="Q37" s="11" t="n">
        <f aca="false">O37-P37</f>
        <v>1191879.2</v>
      </c>
      <c r="R37" s="11" t="n">
        <f aca="false">ROUND(הנחות!$B$9*(F37+הנחות!$B$10*G37),0)</f>
        <v>2083560</v>
      </c>
      <c r="S37" s="11" t="n">
        <f aca="false">R37-Q37</f>
        <v>891680.8</v>
      </c>
      <c r="T37" s="9" t="n">
        <f aca="false">RANK(S37,S$2:S$85)</f>
        <v>53</v>
      </c>
    </row>
    <row r="38" customFormat="false" ht="15" hidden="false" customHeight="false" outlineLevel="0" collapsed="false">
      <c r="A38" s="9" t="n">
        <v>2</v>
      </c>
      <c r="B38" s="9" t="n">
        <v>6</v>
      </c>
      <c r="C38" s="9" t="n">
        <v>2</v>
      </c>
      <c r="D38" s="9" t="s">
        <v>57</v>
      </c>
      <c r="E38" s="9" t="n">
        <v>4</v>
      </c>
      <c r="F38" s="9" t="n">
        <v>107.49</v>
      </c>
      <c r="G38" s="9" t="n">
        <v>11.89</v>
      </c>
      <c r="H38" s="9" t="n">
        <v>1</v>
      </c>
      <c r="I38" s="9"/>
      <c r="J38" s="9" t="s">
        <v>47</v>
      </c>
      <c r="K38" s="9"/>
      <c r="L38" s="9" t="n">
        <v>110</v>
      </c>
      <c r="M38" s="10" t="n">
        <f aca="false">F38+הנחות!$B$5*G38</f>
        <v>111.057</v>
      </c>
      <c r="N38" s="11" t="n">
        <f aca="false">ROUND(M38*הנחות!$B$4,0)</f>
        <v>1668298</v>
      </c>
      <c r="O38" s="11" t="n">
        <f aca="false">ROUND(N38*(1+הנחות!$B$6),0)</f>
        <v>1968592</v>
      </c>
      <c r="P38" s="11" t="n">
        <f aca="false">MIN(הנחות!$B$7*O38,הנחות!$B$8)</f>
        <v>300000</v>
      </c>
      <c r="Q38" s="11" t="n">
        <f aca="false">O38-P38</f>
        <v>1668592</v>
      </c>
      <c r="R38" s="11" t="n">
        <f aca="false">ROUND(הנחות!$B$9*(F38+הנחות!$B$10*G38),0)</f>
        <v>2722440</v>
      </c>
      <c r="S38" s="11" t="n">
        <f aca="false">R38-Q38</f>
        <v>1053848</v>
      </c>
      <c r="T38" s="9" t="n">
        <f aca="false">RANK(S38,S$2:S$85)</f>
        <v>34</v>
      </c>
    </row>
    <row r="39" customFormat="false" ht="15" hidden="false" customHeight="false" outlineLevel="0" collapsed="false">
      <c r="A39" s="9" t="n">
        <v>2</v>
      </c>
      <c r="B39" s="9" t="n">
        <v>7</v>
      </c>
      <c r="C39" s="9" t="n">
        <v>2</v>
      </c>
      <c r="D39" s="9" t="s">
        <v>58</v>
      </c>
      <c r="E39" s="9" t="n">
        <v>3</v>
      </c>
      <c r="F39" s="9" t="n">
        <v>87.66</v>
      </c>
      <c r="G39" s="9" t="n">
        <v>21.75</v>
      </c>
      <c r="H39" s="9" t="n">
        <v>2</v>
      </c>
      <c r="I39" s="9"/>
      <c r="J39" s="9" t="s">
        <v>49</v>
      </c>
      <c r="K39" s="9" t="s">
        <v>59</v>
      </c>
      <c r="L39" s="9" t="n">
        <v>110</v>
      </c>
      <c r="M39" s="10" t="n">
        <f aca="false">F39+הנחות!$B$5*G39</f>
        <v>94.185</v>
      </c>
      <c r="N39" s="11" t="n">
        <f aca="false">ROUND(M39*הנחות!$B$4,0)</f>
        <v>1414847</v>
      </c>
      <c r="O39" s="11" t="n">
        <f aca="false">ROUND(N39*(1+הנחות!$B$6),0)</f>
        <v>1669519</v>
      </c>
      <c r="P39" s="11" t="n">
        <f aca="false">MIN(הנחות!$B$7*O39,הנחות!$B$8)</f>
        <v>300000</v>
      </c>
      <c r="Q39" s="11" t="n">
        <f aca="false">O39-P39</f>
        <v>1369519</v>
      </c>
      <c r="R39" s="11" t="n">
        <f aca="false">ROUND(הנחות!$B$9*(F39+הנחות!$B$10*G39),0)</f>
        <v>2364840</v>
      </c>
      <c r="S39" s="11" t="n">
        <f aca="false">R39-Q39</f>
        <v>995321</v>
      </c>
      <c r="T39" s="9" t="n">
        <f aca="false">RANK(S39,S$2:S$85)</f>
        <v>47</v>
      </c>
    </row>
    <row r="40" customFormat="false" ht="15" hidden="false" customHeight="false" outlineLevel="0" collapsed="false">
      <c r="A40" s="9" t="n">
        <v>2</v>
      </c>
      <c r="B40" s="9" t="n">
        <v>8</v>
      </c>
      <c r="C40" s="9" t="n">
        <v>2</v>
      </c>
      <c r="D40" s="9" t="s">
        <v>60</v>
      </c>
      <c r="E40" s="9" t="n">
        <v>4</v>
      </c>
      <c r="F40" s="9" t="n">
        <v>109.62</v>
      </c>
      <c r="G40" s="9" t="n">
        <v>12.91</v>
      </c>
      <c r="H40" s="9" t="n">
        <v>1</v>
      </c>
      <c r="I40" s="9"/>
      <c r="J40" s="9" t="s">
        <v>52</v>
      </c>
      <c r="K40" s="9" t="s">
        <v>59</v>
      </c>
      <c r="L40" s="9" t="n">
        <v>110</v>
      </c>
      <c r="M40" s="10" t="n">
        <f aca="false">F40+הנחות!$B$5*G40</f>
        <v>113.493</v>
      </c>
      <c r="N40" s="11" t="n">
        <f aca="false">ROUND(M40*הנחות!$B$4,0)</f>
        <v>1704892</v>
      </c>
      <c r="O40" s="11" t="n">
        <f aca="false">ROUND(N40*(1+הנחות!$B$6),0)</f>
        <v>2011773</v>
      </c>
      <c r="P40" s="11" t="n">
        <f aca="false">MIN(הנחות!$B$7*O40,הנחות!$B$8)</f>
        <v>300000</v>
      </c>
      <c r="Q40" s="11" t="n">
        <f aca="false">O40-P40</f>
        <v>1711773</v>
      </c>
      <c r="R40" s="11" t="n">
        <f aca="false">ROUND(הנחות!$B$9*(F40+הנחות!$B$10*G40),0)</f>
        <v>2785800</v>
      </c>
      <c r="S40" s="11" t="n">
        <f aca="false">R40-Q40</f>
        <v>1074027</v>
      </c>
      <c r="T40" s="9" t="n">
        <f aca="false">RANK(S40,S$2:S$85)</f>
        <v>12</v>
      </c>
    </row>
    <row r="41" customFormat="false" ht="15" hidden="false" customHeight="false" outlineLevel="0" collapsed="false">
      <c r="A41" s="9" t="n">
        <v>2</v>
      </c>
      <c r="B41" s="9" t="n">
        <v>9</v>
      </c>
      <c r="C41" s="9" t="n">
        <v>2</v>
      </c>
      <c r="D41" s="9" t="s">
        <v>61</v>
      </c>
      <c r="E41" s="9" t="n">
        <v>3</v>
      </c>
      <c r="F41" s="9" t="n">
        <v>78.65</v>
      </c>
      <c r="G41" s="9" t="n">
        <v>7.35</v>
      </c>
      <c r="H41" s="9" t="n">
        <v>1</v>
      </c>
      <c r="I41" s="9"/>
      <c r="J41" s="9" t="s">
        <v>54</v>
      </c>
      <c r="K41" s="9"/>
      <c r="L41" s="9" t="n">
        <v>80</v>
      </c>
      <c r="M41" s="10" t="n">
        <f aca="false">F41+הנחות!$B$5*G41</f>
        <v>80.855</v>
      </c>
      <c r="N41" s="11" t="n">
        <f aca="false">ROUND(M41*הנחות!$B$4,0)</f>
        <v>1214604</v>
      </c>
      <c r="O41" s="11" t="n">
        <f aca="false">ROUND(N41*(1+הנחות!$B$6),0)</f>
        <v>1433233</v>
      </c>
      <c r="P41" s="11" t="n">
        <f aca="false">MIN(הנחות!$B$7*O41,הנחות!$B$8)</f>
        <v>286646.6</v>
      </c>
      <c r="Q41" s="11" t="n">
        <f aca="false">O41-P41</f>
        <v>1146586.4</v>
      </c>
      <c r="R41" s="11" t="n">
        <f aca="false">ROUND(הנחות!$B$9*(F41+הנחות!$B$10*G41),0)</f>
        <v>1975800</v>
      </c>
      <c r="S41" s="11" t="n">
        <f aca="false">R41-Q41</f>
        <v>829213.6</v>
      </c>
      <c r="T41" s="9" t="n">
        <f aca="false">RANK(S41,S$2:S$85)</f>
        <v>79</v>
      </c>
    </row>
    <row r="42" customFormat="false" ht="15" hidden="false" customHeight="false" outlineLevel="0" collapsed="false">
      <c r="A42" s="9" t="n">
        <v>2</v>
      </c>
      <c r="B42" s="9" t="n">
        <v>10</v>
      </c>
      <c r="C42" s="9" t="n">
        <v>2</v>
      </c>
      <c r="D42" s="9" t="s">
        <v>62</v>
      </c>
      <c r="E42" s="9" t="n">
        <v>3</v>
      </c>
      <c r="F42" s="9" t="n">
        <v>79.9</v>
      </c>
      <c r="G42" s="9" t="n">
        <v>13.83</v>
      </c>
      <c r="H42" s="9" t="n">
        <v>1</v>
      </c>
      <c r="I42" s="9"/>
      <c r="J42" s="9" t="s">
        <v>56</v>
      </c>
      <c r="K42" s="9"/>
      <c r="L42" s="9" t="n">
        <v>80</v>
      </c>
      <c r="M42" s="10" t="n">
        <f aca="false">F42+הנחות!$B$5*G42</f>
        <v>84.049</v>
      </c>
      <c r="N42" s="11" t="n">
        <f aca="false">ROUND(M42*הנחות!$B$4,0)</f>
        <v>1262584</v>
      </c>
      <c r="O42" s="11" t="n">
        <f aca="false">ROUND(N42*(1+הנחות!$B$6),0)</f>
        <v>1489849</v>
      </c>
      <c r="P42" s="11" t="n">
        <f aca="false">MIN(הנחות!$B$7*O42,הנחות!$B$8)</f>
        <v>297969.8</v>
      </c>
      <c r="Q42" s="11" t="n">
        <f aca="false">O42-P42</f>
        <v>1191879.2</v>
      </c>
      <c r="R42" s="11" t="n">
        <f aca="false">ROUND(הנחות!$B$9*(F42+הנחות!$B$10*G42),0)</f>
        <v>2083560</v>
      </c>
      <c r="S42" s="11" t="n">
        <f aca="false">R42-Q42</f>
        <v>891680.8</v>
      </c>
      <c r="T42" s="9" t="n">
        <f aca="false">RANK(S42,S$2:S$85)</f>
        <v>53</v>
      </c>
    </row>
    <row r="43" customFormat="false" ht="15" hidden="false" customHeight="false" outlineLevel="0" collapsed="false">
      <c r="A43" s="9" t="n">
        <v>2</v>
      </c>
      <c r="B43" s="9" t="n">
        <v>11</v>
      </c>
      <c r="C43" s="9" t="n">
        <v>3</v>
      </c>
      <c r="D43" s="9" t="s">
        <v>57</v>
      </c>
      <c r="E43" s="9" t="n">
        <v>4</v>
      </c>
      <c r="F43" s="9" t="n">
        <v>107.49</v>
      </c>
      <c r="G43" s="9" t="n">
        <v>11.89</v>
      </c>
      <c r="H43" s="9" t="n">
        <v>1</v>
      </c>
      <c r="I43" s="9"/>
      <c r="J43" s="9" t="s">
        <v>47</v>
      </c>
      <c r="K43" s="9"/>
      <c r="L43" s="9" t="n">
        <v>110</v>
      </c>
      <c r="M43" s="10" t="n">
        <f aca="false">F43+הנחות!$B$5*G43</f>
        <v>111.057</v>
      </c>
      <c r="N43" s="11" t="n">
        <f aca="false">ROUND(M43*הנחות!$B$4,0)</f>
        <v>1668298</v>
      </c>
      <c r="O43" s="11" t="n">
        <f aca="false">ROUND(N43*(1+הנחות!$B$6),0)</f>
        <v>1968592</v>
      </c>
      <c r="P43" s="11" t="n">
        <f aca="false">MIN(הנחות!$B$7*O43,הנחות!$B$8)</f>
        <v>300000</v>
      </c>
      <c r="Q43" s="11" t="n">
        <f aca="false">O43-P43</f>
        <v>1668592</v>
      </c>
      <c r="R43" s="11" t="n">
        <f aca="false">ROUND(הנחות!$B$9*(F43+הנחות!$B$10*G43),0)</f>
        <v>2722440</v>
      </c>
      <c r="S43" s="11" t="n">
        <f aca="false">R43-Q43</f>
        <v>1053848</v>
      </c>
      <c r="T43" s="9" t="n">
        <f aca="false">RANK(S43,S$2:S$85)</f>
        <v>34</v>
      </c>
    </row>
    <row r="44" customFormat="false" ht="15" hidden="false" customHeight="false" outlineLevel="0" collapsed="false">
      <c r="A44" s="9" t="n">
        <v>2</v>
      </c>
      <c r="B44" s="9" t="n">
        <v>12</v>
      </c>
      <c r="C44" s="9" t="n">
        <v>3</v>
      </c>
      <c r="D44" s="9" t="s">
        <v>58</v>
      </c>
      <c r="E44" s="9" t="n">
        <v>3</v>
      </c>
      <c r="F44" s="9" t="n">
        <v>87.66</v>
      </c>
      <c r="G44" s="9" t="n">
        <v>21.75</v>
      </c>
      <c r="H44" s="9" t="n">
        <v>2</v>
      </c>
      <c r="I44" s="9"/>
      <c r="J44" s="9" t="s">
        <v>49</v>
      </c>
      <c r="K44" s="9" t="s">
        <v>59</v>
      </c>
      <c r="L44" s="9" t="n">
        <v>110</v>
      </c>
      <c r="M44" s="10" t="n">
        <f aca="false">F44+הנחות!$B$5*G44</f>
        <v>94.185</v>
      </c>
      <c r="N44" s="11" t="n">
        <f aca="false">ROUND(M44*הנחות!$B$4,0)</f>
        <v>1414847</v>
      </c>
      <c r="O44" s="11" t="n">
        <f aca="false">ROUND(N44*(1+הנחות!$B$6),0)</f>
        <v>1669519</v>
      </c>
      <c r="P44" s="11" t="n">
        <f aca="false">MIN(הנחות!$B$7*O44,הנחות!$B$8)</f>
        <v>300000</v>
      </c>
      <c r="Q44" s="11" t="n">
        <f aca="false">O44-P44</f>
        <v>1369519</v>
      </c>
      <c r="R44" s="11" t="n">
        <f aca="false">ROUND(הנחות!$B$9*(F44+הנחות!$B$10*G44),0)</f>
        <v>2364840</v>
      </c>
      <c r="S44" s="11" t="n">
        <f aca="false">R44-Q44</f>
        <v>995321</v>
      </c>
      <c r="T44" s="9" t="n">
        <f aca="false">RANK(S44,S$2:S$85)</f>
        <v>47</v>
      </c>
    </row>
    <row r="45" customFormat="false" ht="15" hidden="false" customHeight="false" outlineLevel="0" collapsed="false">
      <c r="A45" s="9" t="n">
        <v>2</v>
      </c>
      <c r="B45" s="9" t="n">
        <v>13</v>
      </c>
      <c r="C45" s="9" t="n">
        <v>3</v>
      </c>
      <c r="D45" s="9" t="s">
        <v>60</v>
      </c>
      <c r="E45" s="9" t="n">
        <v>4</v>
      </c>
      <c r="F45" s="9" t="n">
        <v>109.62</v>
      </c>
      <c r="G45" s="9" t="n">
        <v>12.91</v>
      </c>
      <c r="H45" s="9" t="n">
        <v>1</v>
      </c>
      <c r="I45" s="9"/>
      <c r="J45" s="9" t="s">
        <v>52</v>
      </c>
      <c r="K45" s="9" t="s">
        <v>59</v>
      </c>
      <c r="L45" s="9" t="n">
        <v>110</v>
      </c>
      <c r="M45" s="10" t="n">
        <f aca="false">F45+הנחות!$B$5*G45</f>
        <v>113.493</v>
      </c>
      <c r="N45" s="11" t="n">
        <f aca="false">ROUND(M45*הנחות!$B$4,0)</f>
        <v>1704892</v>
      </c>
      <c r="O45" s="11" t="n">
        <f aca="false">ROUND(N45*(1+הנחות!$B$6),0)</f>
        <v>2011773</v>
      </c>
      <c r="P45" s="11" t="n">
        <f aca="false">MIN(הנחות!$B$7*O45,הנחות!$B$8)</f>
        <v>300000</v>
      </c>
      <c r="Q45" s="11" t="n">
        <f aca="false">O45-P45</f>
        <v>1711773</v>
      </c>
      <c r="R45" s="11" t="n">
        <f aca="false">ROUND(הנחות!$B$9*(F45+הנחות!$B$10*G45),0)</f>
        <v>2785800</v>
      </c>
      <c r="S45" s="11" t="n">
        <f aca="false">R45-Q45</f>
        <v>1074027</v>
      </c>
      <c r="T45" s="9" t="n">
        <f aca="false">RANK(S45,S$2:S$85)</f>
        <v>12</v>
      </c>
    </row>
    <row r="46" customFormat="false" ht="15" hidden="false" customHeight="false" outlineLevel="0" collapsed="false">
      <c r="A46" s="9" t="n">
        <v>2</v>
      </c>
      <c r="B46" s="9" t="n">
        <v>14</v>
      </c>
      <c r="C46" s="9" t="n">
        <v>3</v>
      </c>
      <c r="D46" s="9" t="s">
        <v>61</v>
      </c>
      <c r="E46" s="9" t="n">
        <v>3</v>
      </c>
      <c r="F46" s="9" t="n">
        <v>78.65</v>
      </c>
      <c r="G46" s="9" t="n">
        <v>7.35</v>
      </c>
      <c r="H46" s="9" t="n">
        <v>1</v>
      </c>
      <c r="I46" s="9"/>
      <c r="J46" s="9" t="s">
        <v>54</v>
      </c>
      <c r="K46" s="9"/>
      <c r="L46" s="9" t="n">
        <v>80</v>
      </c>
      <c r="M46" s="10" t="n">
        <f aca="false">F46+הנחות!$B$5*G46</f>
        <v>80.855</v>
      </c>
      <c r="N46" s="11" t="n">
        <f aca="false">ROUND(M46*הנחות!$B$4,0)</f>
        <v>1214604</v>
      </c>
      <c r="O46" s="11" t="n">
        <f aca="false">ROUND(N46*(1+הנחות!$B$6),0)</f>
        <v>1433233</v>
      </c>
      <c r="P46" s="11" t="n">
        <f aca="false">MIN(הנחות!$B$7*O46,הנחות!$B$8)</f>
        <v>286646.6</v>
      </c>
      <c r="Q46" s="11" t="n">
        <f aca="false">O46-P46</f>
        <v>1146586.4</v>
      </c>
      <c r="R46" s="11" t="n">
        <f aca="false">ROUND(הנחות!$B$9*(F46+הנחות!$B$10*G46),0)</f>
        <v>1975800</v>
      </c>
      <c r="S46" s="11" t="n">
        <f aca="false">R46-Q46</f>
        <v>829213.6</v>
      </c>
      <c r="T46" s="9" t="n">
        <f aca="false">RANK(S46,S$2:S$85)</f>
        <v>79</v>
      </c>
    </row>
    <row r="47" customFormat="false" ht="15" hidden="false" customHeight="false" outlineLevel="0" collapsed="false">
      <c r="A47" s="9" t="n">
        <v>2</v>
      </c>
      <c r="B47" s="9" t="n">
        <v>15</v>
      </c>
      <c r="C47" s="9" t="n">
        <v>3</v>
      </c>
      <c r="D47" s="9" t="s">
        <v>62</v>
      </c>
      <c r="E47" s="9" t="n">
        <v>3</v>
      </c>
      <c r="F47" s="9" t="n">
        <v>79.9</v>
      </c>
      <c r="G47" s="9" t="n">
        <v>13.83</v>
      </c>
      <c r="H47" s="9" t="n">
        <v>1</v>
      </c>
      <c r="I47" s="9"/>
      <c r="J47" s="9" t="s">
        <v>56</v>
      </c>
      <c r="K47" s="9"/>
      <c r="L47" s="9" t="n">
        <v>80</v>
      </c>
      <c r="M47" s="10" t="n">
        <f aca="false">F47+הנחות!$B$5*G47</f>
        <v>84.049</v>
      </c>
      <c r="N47" s="11" t="n">
        <f aca="false">ROUND(M47*הנחות!$B$4,0)</f>
        <v>1262584</v>
      </c>
      <c r="O47" s="11" t="n">
        <f aca="false">ROUND(N47*(1+הנחות!$B$6),0)</f>
        <v>1489849</v>
      </c>
      <c r="P47" s="11" t="n">
        <f aca="false">MIN(הנחות!$B$7*O47,הנחות!$B$8)</f>
        <v>297969.8</v>
      </c>
      <c r="Q47" s="11" t="n">
        <f aca="false">O47-P47</f>
        <v>1191879.2</v>
      </c>
      <c r="R47" s="11" t="n">
        <f aca="false">ROUND(הנחות!$B$9*(F47+הנחות!$B$10*G47),0)</f>
        <v>2083560</v>
      </c>
      <c r="S47" s="11" t="n">
        <f aca="false">R47-Q47</f>
        <v>891680.8</v>
      </c>
      <c r="T47" s="9" t="n">
        <f aca="false">RANK(S47,S$2:S$85)</f>
        <v>53</v>
      </c>
    </row>
    <row r="48" customFormat="false" ht="15" hidden="false" customHeight="false" outlineLevel="0" collapsed="false">
      <c r="A48" s="9" t="n">
        <v>2</v>
      </c>
      <c r="B48" s="9" t="n">
        <v>16</v>
      </c>
      <c r="C48" s="9" t="n">
        <v>4</v>
      </c>
      <c r="D48" s="9" t="s">
        <v>57</v>
      </c>
      <c r="E48" s="9" t="n">
        <v>4</v>
      </c>
      <c r="F48" s="9" t="n">
        <v>107.49</v>
      </c>
      <c r="G48" s="9" t="n">
        <v>11.89</v>
      </c>
      <c r="H48" s="9" t="n">
        <v>1</v>
      </c>
      <c r="I48" s="9"/>
      <c r="J48" s="9" t="s">
        <v>47</v>
      </c>
      <c r="K48" s="9"/>
      <c r="L48" s="9" t="n">
        <v>110</v>
      </c>
      <c r="M48" s="10" t="n">
        <f aca="false">F48+הנחות!$B$5*G48</f>
        <v>111.057</v>
      </c>
      <c r="N48" s="11" t="n">
        <f aca="false">ROUND(M48*הנחות!$B$4,0)</f>
        <v>1668298</v>
      </c>
      <c r="O48" s="11" t="n">
        <f aca="false">ROUND(N48*(1+הנחות!$B$6),0)</f>
        <v>1968592</v>
      </c>
      <c r="P48" s="11" t="n">
        <f aca="false">MIN(הנחות!$B$7*O48,הנחות!$B$8)</f>
        <v>300000</v>
      </c>
      <c r="Q48" s="11" t="n">
        <f aca="false">O48-P48</f>
        <v>1668592</v>
      </c>
      <c r="R48" s="11" t="n">
        <f aca="false">ROUND(הנחות!$B$9*(F48+הנחות!$B$10*G48),0)</f>
        <v>2722440</v>
      </c>
      <c r="S48" s="11" t="n">
        <f aca="false">R48-Q48</f>
        <v>1053848</v>
      </c>
      <c r="T48" s="9" t="n">
        <f aca="false">RANK(S48,S$2:S$85)</f>
        <v>34</v>
      </c>
    </row>
    <row r="49" customFormat="false" ht="15" hidden="false" customHeight="false" outlineLevel="0" collapsed="false">
      <c r="A49" s="9" t="n">
        <v>2</v>
      </c>
      <c r="B49" s="9" t="n">
        <v>17</v>
      </c>
      <c r="C49" s="9" t="n">
        <v>4</v>
      </c>
      <c r="D49" s="9" t="s">
        <v>58</v>
      </c>
      <c r="E49" s="9" t="n">
        <v>3</v>
      </c>
      <c r="F49" s="9" t="n">
        <v>87.66</v>
      </c>
      <c r="G49" s="9" t="n">
        <v>21.75</v>
      </c>
      <c r="H49" s="9" t="n">
        <v>2</v>
      </c>
      <c r="I49" s="9"/>
      <c r="J49" s="9" t="s">
        <v>49</v>
      </c>
      <c r="K49" s="9" t="s">
        <v>59</v>
      </c>
      <c r="L49" s="9" t="n">
        <v>110</v>
      </c>
      <c r="M49" s="10" t="n">
        <f aca="false">F49+הנחות!$B$5*G49</f>
        <v>94.185</v>
      </c>
      <c r="N49" s="11" t="n">
        <f aca="false">ROUND(M49*הנחות!$B$4,0)</f>
        <v>1414847</v>
      </c>
      <c r="O49" s="11" t="n">
        <f aca="false">ROUND(N49*(1+הנחות!$B$6),0)</f>
        <v>1669519</v>
      </c>
      <c r="P49" s="11" t="n">
        <f aca="false">MIN(הנחות!$B$7*O49,הנחות!$B$8)</f>
        <v>300000</v>
      </c>
      <c r="Q49" s="11" t="n">
        <f aca="false">O49-P49</f>
        <v>1369519</v>
      </c>
      <c r="R49" s="11" t="n">
        <f aca="false">ROUND(הנחות!$B$9*(F49+הנחות!$B$10*G49),0)</f>
        <v>2364840</v>
      </c>
      <c r="S49" s="11" t="n">
        <f aca="false">R49-Q49</f>
        <v>995321</v>
      </c>
      <c r="T49" s="9" t="n">
        <f aca="false">RANK(S49,S$2:S$85)</f>
        <v>47</v>
      </c>
    </row>
    <row r="50" customFormat="false" ht="15" hidden="false" customHeight="false" outlineLevel="0" collapsed="false">
      <c r="A50" s="9" t="n">
        <v>2</v>
      </c>
      <c r="B50" s="9" t="n">
        <v>18</v>
      </c>
      <c r="C50" s="9" t="n">
        <v>4</v>
      </c>
      <c r="D50" s="9" t="s">
        <v>60</v>
      </c>
      <c r="E50" s="9" t="n">
        <v>4</v>
      </c>
      <c r="F50" s="9" t="n">
        <v>109.61</v>
      </c>
      <c r="G50" s="9" t="n">
        <v>12.91</v>
      </c>
      <c r="H50" s="9" t="n">
        <v>1</v>
      </c>
      <c r="I50" s="9"/>
      <c r="J50" s="9" t="s">
        <v>52</v>
      </c>
      <c r="K50" s="9" t="s">
        <v>59</v>
      </c>
      <c r="L50" s="9" t="n">
        <v>110</v>
      </c>
      <c r="M50" s="10" t="n">
        <f aca="false">F50+הנחות!$B$5*G50</f>
        <v>113.483</v>
      </c>
      <c r="N50" s="11" t="n">
        <f aca="false">ROUND(M50*הנחות!$B$4,0)</f>
        <v>1704742</v>
      </c>
      <c r="O50" s="11" t="n">
        <f aca="false">ROUND(N50*(1+הנחות!$B$6),0)</f>
        <v>2011596</v>
      </c>
      <c r="P50" s="11" t="n">
        <f aca="false">MIN(הנחות!$B$7*O50,הנחות!$B$8)</f>
        <v>300000</v>
      </c>
      <c r="Q50" s="11" t="n">
        <f aca="false">O50-P50</f>
        <v>1711596</v>
      </c>
      <c r="R50" s="11" t="n">
        <f aca="false">ROUND(הנחות!$B$9*(F50+הנחות!$B$10*G50),0)</f>
        <v>2785560</v>
      </c>
      <c r="S50" s="11" t="n">
        <f aca="false">R50-Q50</f>
        <v>1073964</v>
      </c>
      <c r="T50" s="9" t="n">
        <f aca="false">RANK(S50,S$2:S$85)</f>
        <v>15</v>
      </c>
    </row>
    <row r="51" customFormat="false" ht="15" hidden="false" customHeight="false" outlineLevel="0" collapsed="false">
      <c r="A51" s="9" t="n">
        <v>2</v>
      </c>
      <c r="B51" s="9" t="n">
        <v>19</v>
      </c>
      <c r="C51" s="9" t="n">
        <v>4</v>
      </c>
      <c r="D51" s="9" t="s">
        <v>61</v>
      </c>
      <c r="E51" s="9" t="n">
        <v>3</v>
      </c>
      <c r="F51" s="9" t="n">
        <v>78.65</v>
      </c>
      <c r="G51" s="9" t="n">
        <v>7.35</v>
      </c>
      <c r="H51" s="9" t="n">
        <v>1</v>
      </c>
      <c r="I51" s="9"/>
      <c r="J51" s="9" t="s">
        <v>54</v>
      </c>
      <c r="K51" s="9"/>
      <c r="L51" s="9" t="n">
        <v>80</v>
      </c>
      <c r="M51" s="10" t="n">
        <f aca="false">F51+הנחות!$B$5*G51</f>
        <v>80.855</v>
      </c>
      <c r="N51" s="11" t="n">
        <f aca="false">ROUND(M51*הנחות!$B$4,0)</f>
        <v>1214604</v>
      </c>
      <c r="O51" s="11" t="n">
        <f aca="false">ROUND(N51*(1+הנחות!$B$6),0)</f>
        <v>1433233</v>
      </c>
      <c r="P51" s="11" t="n">
        <f aca="false">MIN(הנחות!$B$7*O51,הנחות!$B$8)</f>
        <v>286646.6</v>
      </c>
      <c r="Q51" s="11" t="n">
        <f aca="false">O51-P51</f>
        <v>1146586.4</v>
      </c>
      <c r="R51" s="11" t="n">
        <f aca="false">ROUND(הנחות!$B$9*(F51+הנחות!$B$10*G51),0)</f>
        <v>1975800</v>
      </c>
      <c r="S51" s="11" t="n">
        <f aca="false">R51-Q51</f>
        <v>829213.6</v>
      </c>
      <c r="T51" s="9" t="n">
        <f aca="false">RANK(S51,S$2:S$85)</f>
        <v>79</v>
      </c>
    </row>
    <row r="52" customFormat="false" ht="15" hidden="false" customHeight="false" outlineLevel="0" collapsed="false">
      <c r="A52" s="9" t="n">
        <v>2</v>
      </c>
      <c r="B52" s="9" t="n">
        <v>20</v>
      </c>
      <c r="C52" s="9" t="n">
        <v>4</v>
      </c>
      <c r="D52" s="9" t="s">
        <v>62</v>
      </c>
      <c r="E52" s="9" t="n">
        <v>3</v>
      </c>
      <c r="F52" s="9" t="n">
        <v>79.9</v>
      </c>
      <c r="G52" s="9" t="n">
        <v>13.83</v>
      </c>
      <c r="H52" s="9" t="n">
        <v>1</v>
      </c>
      <c r="I52" s="9"/>
      <c r="J52" s="9" t="s">
        <v>56</v>
      </c>
      <c r="K52" s="9"/>
      <c r="L52" s="9" t="n">
        <v>80</v>
      </c>
      <c r="M52" s="10" t="n">
        <f aca="false">F52+הנחות!$B$5*G52</f>
        <v>84.049</v>
      </c>
      <c r="N52" s="11" t="n">
        <f aca="false">ROUND(M52*הנחות!$B$4,0)</f>
        <v>1262584</v>
      </c>
      <c r="O52" s="11" t="n">
        <f aca="false">ROUND(N52*(1+הנחות!$B$6),0)</f>
        <v>1489849</v>
      </c>
      <c r="P52" s="11" t="n">
        <f aca="false">MIN(הנחות!$B$7*O52,הנחות!$B$8)</f>
        <v>297969.8</v>
      </c>
      <c r="Q52" s="11" t="n">
        <f aca="false">O52-P52</f>
        <v>1191879.2</v>
      </c>
      <c r="R52" s="11" t="n">
        <f aca="false">ROUND(הנחות!$B$9*(F52+הנחות!$B$10*G52),0)</f>
        <v>2083560</v>
      </c>
      <c r="S52" s="11" t="n">
        <f aca="false">R52-Q52</f>
        <v>891680.8</v>
      </c>
      <c r="T52" s="9" t="n">
        <f aca="false">RANK(S52,S$2:S$85)</f>
        <v>53</v>
      </c>
    </row>
    <row r="53" customFormat="false" ht="15" hidden="false" customHeight="false" outlineLevel="0" collapsed="false">
      <c r="A53" s="9" t="n">
        <v>2</v>
      </c>
      <c r="B53" s="9" t="n">
        <v>21</v>
      </c>
      <c r="C53" s="9" t="n">
        <v>5</v>
      </c>
      <c r="D53" s="9" t="s">
        <v>57</v>
      </c>
      <c r="E53" s="9" t="n">
        <v>4</v>
      </c>
      <c r="F53" s="9" t="n">
        <v>107.41</v>
      </c>
      <c r="G53" s="9" t="n">
        <v>11.89</v>
      </c>
      <c r="H53" s="9" t="n">
        <v>1</v>
      </c>
      <c r="I53" s="9"/>
      <c r="J53" s="9" t="s">
        <v>47</v>
      </c>
      <c r="K53" s="9"/>
      <c r="L53" s="9" t="n">
        <v>110</v>
      </c>
      <c r="M53" s="10" t="n">
        <f aca="false">F53+הנחות!$B$5*G53</f>
        <v>110.977</v>
      </c>
      <c r="N53" s="11" t="n">
        <f aca="false">ROUND(M53*הנחות!$B$4,0)</f>
        <v>1667096</v>
      </c>
      <c r="O53" s="11" t="n">
        <f aca="false">ROUND(N53*(1+הנחות!$B$6),0)</f>
        <v>1967173</v>
      </c>
      <c r="P53" s="11" t="n">
        <f aca="false">MIN(הנחות!$B$7*O53,הנחות!$B$8)</f>
        <v>300000</v>
      </c>
      <c r="Q53" s="11" t="n">
        <f aca="false">O53-P53</f>
        <v>1667173</v>
      </c>
      <c r="R53" s="11" t="n">
        <f aca="false">ROUND(הנחות!$B$9*(F53+הנחות!$B$10*G53),0)</f>
        <v>2720520</v>
      </c>
      <c r="S53" s="11" t="n">
        <f aca="false">R53-Q53</f>
        <v>1053347</v>
      </c>
      <c r="T53" s="9" t="n">
        <f aca="false">RANK(S53,S$2:S$85)</f>
        <v>38</v>
      </c>
    </row>
    <row r="54" customFormat="false" ht="15" hidden="false" customHeight="false" outlineLevel="0" collapsed="false">
      <c r="A54" s="9" t="n">
        <v>2</v>
      </c>
      <c r="B54" s="9" t="n">
        <v>22</v>
      </c>
      <c r="C54" s="9" t="n">
        <v>5</v>
      </c>
      <c r="D54" s="9" t="s">
        <v>58</v>
      </c>
      <c r="E54" s="9" t="n">
        <v>3</v>
      </c>
      <c r="F54" s="9" t="n">
        <v>87.66</v>
      </c>
      <c r="G54" s="9" t="n">
        <v>21.75</v>
      </c>
      <c r="H54" s="9" t="n">
        <v>2</v>
      </c>
      <c r="I54" s="9"/>
      <c r="J54" s="9" t="s">
        <v>49</v>
      </c>
      <c r="K54" s="9" t="s">
        <v>59</v>
      </c>
      <c r="L54" s="9" t="n">
        <v>110</v>
      </c>
      <c r="M54" s="10" t="n">
        <f aca="false">F54+הנחות!$B$5*G54</f>
        <v>94.185</v>
      </c>
      <c r="N54" s="11" t="n">
        <f aca="false">ROUND(M54*הנחות!$B$4,0)</f>
        <v>1414847</v>
      </c>
      <c r="O54" s="11" t="n">
        <f aca="false">ROUND(N54*(1+הנחות!$B$6),0)</f>
        <v>1669519</v>
      </c>
      <c r="P54" s="11" t="n">
        <f aca="false">MIN(הנחות!$B$7*O54,הנחות!$B$8)</f>
        <v>300000</v>
      </c>
      <c r="Q54" s="11" t="n">
        <f aca="false">O54-P54</f>
        <v>1369519</v>
      </c>
      <c r="R54" s="11" t="n">
        <f aca="false">ROUND(הנחות!$B$9*(F54+הנחות!$B$10*G54),0)</f>
        <v>2364840</v>
      </c>
      <c r="S54" s="11" t="n">
        <f aca="false">R54-Q54</f>
        <v>995321</v>
      </c>
      <c r="T54" s="9" t="n">
        <f aca="false">RANK(S54,S$2:S$85)</f>
        <v>47</v>
      </c>
    </row>
    <row r="55" customFormat="false" ht="15" hidden="false" customHeight="false" outlineLevel="0" collapsed="false">
      <c r="A55" s="9" t="n">
        <v>2</v>
      </c>
      <c r="B55" s="9" t="n">
        <v>25</v>
      </c>
      <c r="C55" s="9" t="n">
        <v>6</v>
      </c>
      <c r="D55" s="9" t="s">
        <v>57</v>
      </c>
      <c r="E55" s="9" t="n">
        <v>4</v>
      </c>
      <c r="F55" s="9" t="n">
        <v>107.41</v>
      </c>
      <c r="G55" s="9" t="n">
        <v>11.89</v>
      </c>
      <c r="H55" s="9" t="n">
        <v>1</v>
      </c>
      <c r="I55" s="9"/>
      <c r="J55" s="9" t="s">
        <v>47</v>
      </c>
      <c r="K55" s="9"/>
      <c r="L55" s="9" t="n">
        <v>110</v>
      </c>
      <c r="M55" s="10" t="n">
        <f aca="false">F55+הנחות!$B$5*G55</f>
        <v>110.977</v>
      </c>
      <c r="N55" s="11" t="n">
        <f aca="false">ROUND(M55*הנחות!$B$4,0)</f>
        <v>1667096</v>
      </c>
      <c r="O55" s="11" t="n">
        <f aca="false">ROUND(N55*(1+הנחות!$B$6),0)</f>
        <v>1967173</v>
      </c>
      <c r="P55" s="11" t="n">
        <f aca="false">MIN(הנחות!$B$7*O55,הנחות!$B$8)</f>
        <v>300000</v>
      </c>
      <c r="Q55" s="11" t="n">
        <f aca="false">O55-P55</f>
        <v>1667173</v>
      </c>
      <c r="R55" s="11" t="n">
        <f aca="false">ROUND(הנחות!$B$9*(F55+הנחות!$B$10*G55),0)</f>
        <v>2720520</v>
      </c>
      <c r="S55" s="11" t="n">
        <f aca="false">R55-Q55</f>
        <v>1053347</v>
      </c>
      <c r="T55" s="9" t="n">
        <f aca="false">RANK(S55,S$2:S$85)</f>
        <v>38</v>
      </c>
    </row>
    <row r="56" customFormat="false" ht="15" hidden="false" customHeight="false" outlineLevel="0" collapsed="false">
      <c r="A56" s="9" t="n">
        <v>2</v>
      </c>
      <c r="B56" s="9" t="n">
        <v>26</v>
      </c>
      <c r="C56" s="9" t="n">
        <v>6</v>
      </c>
      <c r="D56" s="9" t="s">
        <v>58</v>
      </c>
      <c r="E56" s="9" t="n">
        <v>3</v>
      </c>
      <c r="F56" s="9" t="n">
        <v>87.66</v>
      </c>
      <c r="G56" s="9" t="n">
        <v>21.75</v>
      </c>
      <c r="H56" s="9" t="n">
        <v>2</v>
      </c>
      <c r="I56" s="9"/>
      <c r="J56" s="9" t="s">
        <v>49</v>
      </c>
      <c r="K56" s="9" t="s">
        <v>59</v>
      </c>
      <c r="L56" s="9" t="n">
        <v>110</v>
      </c>
      <c r="M56" s="10" t="n">
        <f aca="false">F56+הנחות!$B$5*G56</f>
        <v>94.185</v>
      </c>
      <c r="N56" s="11" t="n">
        <f aca="false">ROUND(M56*הנחות!$B$4,0)</f>
        <v>1414847</v>
      </c>
      <c r="O56" s="11" t="n">
        <f aca="false">ROUND(N56*(1+הנחות!$B$6),0)</f>
        <v>1669519</v>
      </c>
      <c r="P56" s="11" t="n">
        <f aca="false">MIN(הנחות!$B$7*O56,הנחות!$B$8)</f>
        <v>300000</v>
      </c>
      <c r="Q56" s="11" t="n">
        <f aca="false">O56-P56</f>
        <v>1369519</v>
      </c>
      <c r="R56" s="11" t="n">
        <f aca="false">ROUND(הנחות!$B$9*(F56+הנחות!$B$10*G56),0)</f>
        <v>2364840</v>
      </c>
      <c r="S56" s="11" t="n">
        <f aca="false">R56-Q56</f>
        <v>995321</v>
      </c>
      <c r="T56" s="9" t="n">
        <f aca="false">RANK(S56,S$2:S$85)</f>
        <v>47</v>
      </c>
    </row>
    <row r="57" customFormat="false" ht="15" hidden="false" customHeight="false" outlineLevel="0" collapsed="false">
      <c r="A57" s="9" t="n">
        <v>3</v>
      </c>
      <c r="B57" s="9" t="n">
        <v>1</v>
      </c>
      <c r="C57" s="9" t="n">
        <v>0</v>
      </c>
      <c r="D57" s="9" t="s">
        <v>63</v>
      </c>
      <c r="E57" s="9" t="n">
        <v>3</v>
      </c>
      <c r="F57" s="9" t="n">
        <v>77.22</v>
      </c>
      <c r="G57" s="9"/>
      <c r="H57" s="9"/>
      <c r="I57" s="9" t="s">
        <v>59</v>
      </c>
      <c r="J57" s="9" t="s">
        <v>47</v>
      </c>
      <c r="K57" s="9"/>
      <c r="L57" s="9" t="n">
        <v>80</v>
      </c>
      <c r="M57" s="10" t="n">
        <f aca="false">F57+הנחות!$B$5*G57</f>
        <v>77.22</v>
      </c>
      <c r="N57" s="11" t="n">
        <f aca="false">ROUND(M57*הנחות!$B$4,0)</f>
        <v>1159999</v>
      </c>
      <c r="O57" s="11" t="n">
        <f aca="false">ROUND(N57*(1+הנחות!$B$6),0)</f>
        <v>1368799</v>
      </c>
      <c r="P57" s="11" t="n">
        <f aca="false">MIN(הנחות!$B$7*O57,הנחות!$B$8)</f>
        <v>273759.8</v>
      </c>
      <c r="Q57" s="11" t="n">
        <f aca="false">O57-P57</f>
        <v>1095039.2</v>
      </c>
      <c r="R57" s="11" t="n">
        <f aca="false">ROUND(הנחות!$B$9*(F57+הנחות!$B$10*G57),0)</f>
        <v>1853280</v>
      </c>
      <c r="S57" s="11" t="n">
        <f aca="false">R57-Q57</f>
        <v>758240.8</v>
      </c>
      <c r="T57" s="9" t="n">
        <f aca="false">RANK(S57,S$2:S$85)</f>
        <v>83</v>
      </c>
    </row>
    <row r="58" customFormat="false" ht="15" hidden="false" customHeight="false" outlineLevel="0" collapsed="false">
      <c r="A58" s="9" t="n">
        <v>3</v>
      </c>
      <c r="B58" s="9" t="n">
        <v>2</v>
      </c>
      <c r="C58" s="9" t="n">
        <v>0</v>
      </c>
      <c r="D58" s="9" t="s">
        <v>63</v>
      </c>
      <c r="E58" s="9" t="n">
        <v>3</v>
      </c>
      <c r="F58" s="9" t="n">
        <v>76.89</v>
      </c>
      <c r="G58" s="9"/>
      <c r="H58" s="9"/>
      <c r="I58" s="9" t="s">
        <v>59</v>
      </c>
      <c r="J58" s="9" t="s">
        <v>64</v>
      </c>
      <c r="K58" s="9"/>
      <c r="L58" s="9" t="n">
        <v>80</v>
      </c>
      <c r="M58" s="10" t="n">
        <f aca="false">F58+הנחות!$B$5*G58</f>
        <v>76.89</v>
      </c>
      <c r="N58" s="11" t="n">
        <f aca="false">ROUND(M58*הנחות!$B$4,0)</f>
        <v>1155042</v>
      </c>
      <c r="O58" s="11" t="n">
        <f aca="false">ROUND(N58*(1+הנחות!$B$6),0)</f>
        <v>1362950</v>
      </c>
      <c r="P58" s="11" t="n">
        <f aca="false">MIN(הנחות!$B$7*O58,הנחות!$B$8)</f>
        <v>272590</v>
      </c>
      <c r="Q58" s="11" t="n">
        <f aca="false">O58-P58</f>
        <v>1090360</v>
      </c>
      <c r="R58" s="11" t="n">
        <f aca="false">ROUND(הנחות!$B$9*(F58+הנחות!$B$10*G58),0)</f>
        <v>1845360</v>
      </c>
      <c r="S58" s="11" t="n">
        <f aca="false">R58-Q58</f>
        <v>755000</v>
      </c>
      <c r="T58" s="9" t="n">
        <f aca="false">RANK(S58,S$2:S$85)</f>
        <v>84</v>
      </c>
    </row>
    <row r="59" customFormat="false" ht="15" hidden="false" customHeight="false" outlineLevel="0" collapsed="false">
      <c r="A59" s="9" t="n">
        <v>3</v>
      </c>
      <c r="B59" s="9" t="n">
        <v>4</v>
      </c>
      <c r="C59" s="9" t="n">
        <v>1</v>
      </c>
      <c r="D59" s="9" t="s">
        <v>65</v>
      </c>
      <c r="E59" s="9" t="n">
        <v>3</v>
      </c>
      <c r="F59" s="9" t="n">
        <v>79.97</v>
      </c>
      <c r="G59" s="9" t="n">
        <v>13.5</v>
      </c>
      <c r="H59" s="9" t="n">
        <v>1</v>
      </c>
      <c r="I59" s="9"/>
      <c r="J59" s="9" t="s">
        <v>47</v>
      </c>
      <c r="K59" s="9"/>
      <c r="L59" s="9" t="n">
        <v>80</v>
      </c>
      <c r="M59" s="10" t="n">
        <f aca="false">F59+הנחות!$B$5*G59</f>
        <v>84.02</v>
      </c>
      <c r="N59" s="11" t="n">
        <f aca="false">ROUND(M59*הנחות!$B$4,0)</f>
        <v>1262148</v>
      </c>
      <c r="O59" s="11" t="n">
        <f aca="false">ROUND(N59*(1+הנחות!$B$6),0)</f>
        <v>1489335</v>
      </c>
      <c r="P59" s="11" t="n">
        <f aca="false">MIN(הנחות!$B$7*O59,הנחות!$B$8)</f>
        <v>297867</v>
      </c>
      <c r="Q59" s="11" t="n">
        <f aca="false">O59-P59</f>
        <v>1191468</v>
      </c>
      <c r="R59" s="11" t="n">
        <f aca="false">ROUND(הנחות!$B$9*(F59+הנחות!$B$10*G59),0)</f>
        <v>2081280</v>
      </c>
      <c r="S59" s="11" t="n">
        <f aca="false">R59-Q59</f>
        <v>889812</v>
      </c>
      <c r="T59" s="9" t="n">
        <f aca="false">RANK(S59,S$2:S$85)</f>
        <v>57</v>
      </c>
    </row>
    <row r="60" customFormat="false" ht="15" hidden="false" customHeight="false" outlineLevel="0" collapsed="false">
      <c r="A60" s="9" t="n">
        <v>3</v>
      </c>
      <c r="B60" s="9" t="n">
        <v>5</v>
      </c>
      <c r="C60" s="9" t="n">
        <v>1</v>
      </c>
      <c r="D60" s="9" t="s">
        <v>66</v>
      </c>
      <c r="E60" s="9" t="n">
        <v>4</v>
      </c>
      <c r="F60" s="9" t="n">
        <v>107.43</v>
      </c>
      <c r="G60" s="9" t="n">
        <v>14</v>
      </c>
      <c r="H60" s="9" t="n">
        <v>1</v>
      </c>
      <c r="I60" s="9"/>
      <c r="J60" s="9" t="s">
        <v>49</v>
      </c>
      <c r="K60" s="9" t="s">
        <v>59</v>
      </c>
      <c r="L60" s="9" t="n">
        <v>110</v>
      </c>
      <c r="M60" s="10" t="n">
        <f aca="false">F60+הנחות!$B$5*G60</f>
        <v>111.63</v>
      </c>
      <c r="N60" s="11" t="n">
        <f aca="false">ROUND(M60*הנחות!$B$4,0)</f>
        <v>1676906</v>
      </c>
      <c r="O60" s="11" t="n">
        <f aca="false">ROUND(N60*(1+הנחות!$B$6),0)</f>
        <v>1978749</v>
      </c>
      <c r="P60" s="11" t="n">
        <f aca="false">MIN(הנחות!$B$7*O60,הנחות!$B$8)</f>
        <v>300000</v>
      </c>
      <c r="Q60" s="11" t="n">
        <f aca="false">O60-P60</f>
        <v>1678749</v>
      </c>
      <c r="R60" s="11" t="n">
        <f aca="false">ROUND(הנחות!$B$9*(F60+הנחות!$B$10*G60),0)</f>
        <v>2746320</v>
      </c>
      <c r="S60" s="11" t="n">
        <f aca="false">R60-Q60</f>
        <v>1067571</v>
      </c>
      <c r="T60" s="9" t="n">
        <f aca="false">RANK(S60,S$2:S$85)</f>
        <v>21</v>
      </c>
    </row>
    <row r="61" customFormat="false" ht="15" hidden="false" customHeight="false" outlineLevel="0" collapsed="false">
      <c r="A61" s="9" t="n">
        <v>3</v>
      </c>
      <c r="B61" s="9" t="n">
        <v>6</v>
      </c>
      <c r="C61" s="9" t="n">
        <v>1</v>
      </c>
      <c r="D61" s="9" t="s">
        <v>67</v>
      </c>
      <c r="E61" s="9" t="n">
        <v>4</v>
      </c>
      <c r="F61" s="9" t="n">
        <v>109.01</v>
      </c>
      <c r="G61" s="9" t="n">
        <v>14</v>
      </c>
      <c r="H61" s="9" t="n">
        <v>1</v>
      </c>
      <c r="I61" s="9"/>
      <c r="J61" s="9" t="s">
        <v>52</v>
      </c>
      <c r="K61" s="9" t="s">
        <v>59</v>
      </c>
      <c r="L61" s="9" t="n">
        <v>110</v>
      </c>
      <c r="M61" s="10" t="n">
        <f aca="false">F61+הנחות!$B$5*G61</f>
        <v>113.21</v>
      </c>
      <c r="N61" s="11" t="n">
        <f aca="false">ROUND(M61*הנחות!$B$4,0)</f>
        <v>1700641</v>
      </c>
      <c r="O61" s="11" t="n">
        <f aca="false">ROUND(N61*(1+הנחות!$B$6),0)</f>
        <v>2006756</v>
      </c>
      <c r="P61" s="11" t="n">
        <f aca="false">MIN(הנחות!$B$7*O61,הנחות!$B$8)</f>
        <v>300000</v>
      </c>
      <c r="Q61" s="11" t="n">
        <f aca="false">O61-P61</f>
        <v>1706756</v>
      </c>
      <c r="R61" s="11" t="n">
        <f aca="false">ROUND(הנחות!$B$9*(F61+הנחות!$B$10*G61),0)</f>
        <v>2784240</v>
      </c>
      <c r="S61" s="11" t="n">
        <f aca="false">R61-Q61</f>
        <v>1077484</v>
      </c>
      <c r="T61" s="9" t="n">
        <f aca="false">RANK(S61,S$2:S$85)</f>
        <v>1</v>
      </c>
    </row>
    <row r="62" customFormat="false" ht="15" hidden="false" customHeight="false" outlineLevel="0" collapsed="false">
      <c r="A62" s="9" t="n">
        <v>3</v>
      </c>
      <c r="B62" s="9" t="n">
        <v>7</v>
      </c>
      <c r="C62" s="9" t="n">
        <v>1</v>
      </c>
      <c r="D62" s="9" t="s">
        <v>68</v>
      </c>
      <c r="E62" s="9" t="n">
        <v>4</v>
      </c>
      <c r="F62" s="9" t="n">
        <v>109.52</v>
      </c>
      <c r="G62" s="9" t="n">
        <v>12.91</v>
      </c>
      <c r="H62" s="9" t="n">
        <v>1</v>
      </c>
      <c r="I62" s="9"/>
      <c r="J62" s="9" t="s">
        <v>56</v>
      </c>
      <c r="K62" s="9"/>
      <c r="L62" s="9" t="n">
        <v>110</v>
      </c>
      <c r="M62" s="10" t="n">
        <f aca="false">F62+הנחות!$B$5*G62</f>
        <v>113.393</v>
      </c>
      <c r="N62" s="11" t="n">
        <f aca="false">ROUND(M62*הנחות!$B$4,0)</f>
        <v>1703390</v>
      </c>
      <c r="O62" s="11" t="n">
        <f aca="false">ROUND(N62*(1+הנחות!$B$6),0)</f>
        <v>2010000</v>
      </c>
      <c r="P62" s="11" t="n">
        <f aca="false">MIN(הנחות!$B$7*O62,הנחות!$B$8)</f>
        <v>300000</v>
      </c>
      <c r="Q62" s="11" t="n">
        <f aca="false">O62-P62</f>
        <v>1710000</v>
      </c>
      <c r="R62" s="11" t="n">
        <f aca="false">ROUND(הנחות!$B$9*(F62+הנחות!$B$10*G62),0)</f>
        <v>2783400</v>
      </c>
      <c r="S62" s="11" t="n">
        <f aca="false">R62-Q62</f>
        <v>1073400</v>
      </c>
      <c r="T62" s="9" t="n">
        <f aca="false">RANK(S62,S$2:S$85)</f>
        <v>16</v>
      </c>
    </row>
    <row r="63" customFormat="false" ht="15" hidden="false" customHeight="false" outlineLevel="0" collapsed="false">
      <c r="A63" s="9" t="n">
        <v>3</v>
      </c>
      <c r="B63" s="9" t="n">
        <v>8</v>
      </c>
      <c r="C63" s="9" t="n">
        <v>1</v>
      </c>
      <c r="D63" s="9" t="s">
        <v>69</v>
      </c>
      <c r="E63" s="9" t="n">
        <v>3</v>
      </c>
      <c r="F63" s="9" t="n">
        <v>78.68</v>
      </c>
      <c r="G63" s="9" t="n">
        <v>7.37</v>
      </c>
      <c r="H63" s="9" t="n">
        <v>1</v>
      </c>
      <c r="I63" s="9"/>
      <c r="J63" s="9" t="s">
        <v>64</v>
      </c>
      <c r="K63" s="9"/>
      <c r="L63" s="9" t="n">
        <v>80</v>
      </c>
      <c r="M63" s="10" t="n">
        <f aca="false">F63+הנחות!$B$5*G63</f>
        <v>80.891</v>
      </c>
      <c r="N63" s="11" t="n">
        <f aca="false">ROUND(M63*הנחות!$B$4,0)</f>
        <v>1215145</v>
      </c>
      <c r="O63" s="11" t="n">
        <f aca="false">ROUND(N63*(1+הנחות!$B$6),0)</f>
        <v>1433871</v>
      </c>
      <c r="P63" s="11" t="n">
        <f aca="false">MIN(הנחות!$B$7*O63,הנחות!$B$8)</f>
        <v>286774.2</v>
      </c>
      <c r="Q63" s="11" t="n">
        <f aca="false">O63-P63</f>
        <v>1147096.8</v>
      </c>
      <c r="R63" s="11" t="n">
        <f aca="false">ROUND(הנחות!$B$9*(F63+הנחות!$B$10*G63),0)</f>
        <v>1976760</v>
      </c>
      <c r="S63" s="11" t="n">
        <f aca="false">R63-Q63</f>
        <v>829663.2</v>
      </c>
      <c r="T63" s="9" t="n">
        <f aca="false">RANK(S63,S$2:S$85)</f>
        <v>74</v>
      </c>
    </row>
    <row r="64" customFormat="false" ht="15" hidden="false" customHeight="false" outlineLevel="0" collapsed="false">
      <c r="A64" s="9" t="n">
        <v>3</v>
      </c>
      <c r="B64" s="9" t="n">
        <v>9</v>
      </c>
      <c r="C64" s="9" t="n">
        <v>2</v>
      </c>
      <c r="D64" s="9" t="s">
        <v>65</v>
      </c>
      <c r="E64" s="9" t="n">
        <v>3</v>
      </c>
      <c r="F64" s="9" t="n">
        <v>79.97</v>
      </c>
      <c r="G64" s="9" t="n">
        <v>13.5</v>
      </c>
      <c r="H64" s="9" t="n">
        <v>1</v>
      </c>
      <c r="I64" s="9"/>
      <c r="J64" s="9" t="s">
        <v>47</v>
      </c>
      <c r="K64" s="9"/>
      <c r="L64" s="9" t="n">
        <v>80</v>
      </c>
      <c r="M64" s="10" t="n">
        <f aca="false">F64+הנחות!$B$5*G64</f>
        <v>84.02</v>
      </c>
      <c r="N64" s="11" t="n">
        <f aca="false">ROUND(M64*הנחות!$B$4,0)</f>
        <v>1262148</v>
      </c>
      <c r="O64" s="11" t="n">
        <f aca="false">ROUND(N64*(1+הנחות!$B$6),0)</f>
        <v>1489335</v>
      </c>
      <c r="P64" s="11" t="n">
        <f aca="false">MIN(הנחות!$B$7*O64,הנחות!$B$8)</f>
        <v>297867</v>
      </c>
      <c r="Q64" s="11" t="n">
        <f aca="false">O64-P64</f>
        <v>1191468</v>
      </c>
      <c r="R64" s="11" t="n">
        <f aca="false">ROUND(הנחות!$B$9*(F64+הנחות!$B$10*G64),0)</f>
        <v>2081280</v>
      </c>
      <c r="S64" s="11" t="n">
        <f aca="false">R64-Q64</f>
        <v>889812</v>
      </c>
      <c r="T64" s="9" t="n">
        <f aca="false">RANK(S64,S$2:S$85)</f>
        <v>57</v>
      </c>
    </row>
    <row r="65" customFormat="false" ht="15" hidden="false" customHeight="false" outlineLevel="0" collapsed="false">
      <c r="A65" s="9" t="n">
        <v>3</v>
      </c>
      <c r="B65" s="9" t="n">
        <v>10</v>
      </c>
      <c r="C65" s="9" t="n">
        <v>2</v>
      </c>
      <c r="D65" s="9" t="s">
        <v>66</v>
      </c>
      <c r="E65" s="9" t="n">
        <v>4</v>
      </c>
      <c r="F65" s="9" t="n">
        <v>107.43</v>
      </c>
      <c r="G65" s="9" t="n">
        <v>14</v>
      </c>
      <c r="H65" s="9" t="n">
        <v>1</v>
      </c>
      <c r="I65" s="9"/>
      <c r="J65" s="9" t="s">
        <v>49</v>
      </c>
      <c r="K65" s="9" t="s">
        <v>59</v>
      </c>
      <c r="L65" s="9" t="n">
        <v>110</v>
      </c>
      <c r="M65" s="10" t="n">
        <f aca="false">F65+הנחות!$B$5*G65</f>
        <v>111.63</v>
      </c>
      <c r="N65" s="11" t="n">
        <f aca="false">ROUND(M65*הנחות!$B$4,0)</f>
        <v>1676906</v>
      </c>
      <c r="O65" s="11" t="n">
        <f aca="false">ROUND(N65*(1+הנחות!$B$6),0)</f>
        <v>1978749</v>
      </c>
      <c r="P65" s="11" t="n">
        <f aca="false">MIN(הנחות!$B$7*O65,הנחות!$B$8)</f>
        <v>300000</v>
      </c>
      <c r="Q65" s="11" t="n">
        <f aca="false">O65-P65</f>
        <v>1678749</v>
      </c>
      <c r="R65" s="11" t="n">
        <f aca="false">ROUND(הנחות!$B$9*(F65+הנחות!$B$10*G65),0)</f>
        <v>2746320</v>
      </c>
      <c r="S65" s="11" t="n">
        <f aca="false">R65-Q65</f>
        <v>1067571</v>
      </c>
      <c r="T65" s="9" t="n">
        <f aca="false">RANK(S65,S$2:S$85)</f>
        <v>21</v>
      </c>
    </row>
    <row r="66" customFormat="false" ht="15" hidden="false" customHeight="false" outlineLevel="0" collapsed="false">
      <c r="A66" s="9" t="n">
        <v>3</v>
      </c>
      <c r="B66" s="9" t="n">
        <v>11</v>
      </c>
      <c r="C66" s="9" t="n">
        <v>2</v>
      </c>
      <c r="D66" s="9" t="s">
        <v>67</v>
      </c>
      <c r="E66" s="9" t="n">
        <v>4</v>
      </c>
      <c r="F66" s="9" t="n">
        <v>109.01</v>
      </c>
      <c r="G66" s="9" t="n">
        <v>14</v>
      </c>
      <c r="H66" s="9" t="n">
        <v>1</v>
      </c>
      <c r="I66" s="9"/>
      <c r="J66" s="9" t="s">
        <v>52</v>
      </c>
      <c r="K66" s="9" t="s">
        <v>59</v>
      </c>
      <c r="L66" s="9" t="n">
        <v>110</v>
      </c>
      <c r="M66" s="10" t="n">
        <f aca="false">F66+הנחות!$B$5*G66</f>
        <v>113.21</v>
      </c>
      <c r="N66" s="11" t="n">
        <f aca="false">ROUND(M66*הנחות!$B$4,0)</f>
        <v>1700641</v>
      </c>
      <c r="O66" s="11" t="n">
        <f aca="false">ROUND(N66*(1+הנחות!$B$6),0)</f>
        <v>2006756</v>
      </c>
      <c r="P66" s="11" t="n">
        <f aca="false">MIN(הנחות!$B$7*O66,הנחות!$B$8)</f>
        <v>300000</v>
      </c>
      <c r="Q66" s="11" t="n">
        <f aca="false">O66-P66</f>
        <v>1706756</v>
      </c>
      <c r="R66" s="11" t="n">
        <f aca="false">ROUND(הנחות!$B$9*(F66+הנחות!$B$10*G66),0)</f>
        <v>2784240</v>
      </c>
      <c r="S66" s="11" t="n">
        <f aca="false">R66-Q66</f>
        <v>1077484</v>
      </c>
      <c r="T66" s="9" t="n">
        <f aca="false">RANK(S66,S$2:S$85)</f>
        <v>1</v>
      </c>
    </row>
    <row r="67" customFormat="false" ht="15" hidden="false" customHeight="false" outlineLevel="0" collapsed="false">
      <c r="A67" s="9" t="n">
        <v>3</v>
      </c>
      <c r="B67" s="9" t="n">
        <v>12</v>
      </c>
      <c r="C67" s="9" t="n">
        <v>2</v>
      </c>
      <c r="D67" s="9" t="s">
        <v>68</v>
      </c>
      <c r="E67" s="9" t="n">
        <v>4</v>
      </c>
      <c r="F67" s="9" t="n">
        <v>109.52</v>
      </c>
      <c r="G67" s="9" t="n">
        <v>12.91</v>
      </c>
      <c r="H67" s="9" t="n">
        <v>1</v>
      </c>
      <c r="I67" s="9"/>
      <c r="J67" s="9" t="s">
        <v>56</v>
      </c>
      <c r="K67" s="9"/>
      <c r="L67" s="9" t="n">
        <v>110</v>
      </c>
      <c r="M67" s="10" t="n">
        <f aca="false">F67+הנחות!$B$5*G67</f>
        <v>113.393</v>
      </c>
      <c r="N67" s="11" t="n">
        <f aca="false">ROUND(M67*הנחות!$B$4,0)</f>
        <v>1703390</v>
      </c>
      <c r="O67" s="11" t="n">
        <f aca="false">ROUND(N67*(1+הנחות!$B$6),0)</f>
        <v>2010000</v>
      </c>
      <c r="P67" s="11" t="n">
        <f aca="false">MIN(הנחות!$B$7*O67,הנחות!$B$8)</f>
        <v>300000</v>
      </c>
      <c r="Q67" s="11" t="n">
        <f aca="false">O67-P67</f>
        <v>1710000</v>
      </c>
      <c r="R67" s="11" t="n">
        <f aca="false">ROUND(הנחות!$B$9*(F67+הנחות!$B$10*G67),0)</f>
        <v>2783400</v>
      </c>
      <c r="S67" s="11" t="n">
        <f aca="false">R67-Q67</f>
        <v>1073400</v>
      </c>
      <c r="T67" s="9" t="n">
        <f aca="false">RANK(S67,S$2:S$85)</f>
        <v>16</v>
      </c>
    </row>
    <row r="68" customFormat="false" ht="15" hidden="false" customHeight="false" outlineLevel="0" collapsed="false">
      <c r="A68" s="9" t="n">
        <v>3</v>
      </c>
      <c r="B68" s="9" t="n">
        <v>13</v>
      </c>
      <c r="C68" s="9" t="n">
        <v>2</v>
      </c>
      <c r="D68" s="9" t="s">
        <v>69</v>
      </c>
      <c r="E68" s="9" t="n">
        <v>3</v>
      </c>
      <c r="F68" s="9" t="n">
        <v>78.68</v>
      </c>
      <c r="G68" s="9" t="n">
        <v>7.37</v>
      </c>
      <c r="H68" s="9" t="n">
        <v>1</v>
      </c>
      <c r="I68" s="9"/>
      <c r="J68" s="9" t="s">
        <v>64</v>
      </c>
      <c r="K68" s="9"/>
      <c r="L68" s="9" t="n">
        <v>80</v>
      </c>
      <c r="M68" s="10" t="n">
        <f aca="false">F68+הנחות!$B$5*G68</f>
        <v>80.891</v>
      </c>
      <c r="N68" s="11" t="n">
        <f aca="false">ROUND(M68*הנחות!$B$4,0)</f>
        <v>1215145</v>
      </c>
      <c r="O68" s="11" t="n">
        <f aca="false">ROUND(N68*(1+הנחות!$B$6),0)</f>
        <v>1433871</v>
      </c>
      <c r="P68" s="11" t="n">
        <f aca="false">MIN(הנחות!$B$7*O68,הנחות!$B$8)</f>
        <v>286774.2</v>
      </c>
      <c r="Q68" s="11" t="n">
        <f aca="false">O68-P68</f>
        <v>1147096.8</v>
      </c>
      <c r="R68" s="11" t="n">
        <f aca="false">ROUND(הנחות!$B$9*(F68+הנחות!$B$10*G68),0)</f>
        <v>1976760</v>
      </c>
      <c r="S68" s="11" t="n">
        <f aca="false">R68-Q68</f>
        <v>829663.2</v>
      </c>
      <c r="T68" s="9" t="n">
        <f aca="false">RANK(S68,S$2:S$85)</f>
        <v>74</v>
      </c>
    </row>
    <row r="69" customFormat="false" ht="15" hidden="false" customHeight="false" outlineLevel="0" collapsed="false">
      <c r="A69" s="9" t="n">
        <v>3</v>
      </c>
      <c r="B69" s="9" t="n">
        <v>14</v>
      </c>
      <c r="C69" s="9" t="n">
        <v>3</v>
      </c>
      <c r="D69" s="9" t="s">
        <v>65</v>
      </c>
      <c r="E69" s="9" t="n">
        <v>3</v>
      </c>
      <c r="F69" s="9" t="n">
        <v>79.97</v>
      </c>
      <c r="G69" s="9" t="n">
        <v>13.5</v>
      </c>
      <c r="H69" s="9" t="n">
        <v>1</v>
      </c>
      <c r="I69" s="9"/>
      <c r="J69" s="9" t="s">
        <v>47</v>
      </c>
      <c r="K69" s="9"/>
      <c r="L69" s="9" t="n">
        <v>80</v>
      </c>
      <c r="M69" s="10" t="n">
        <f aca="false">F69+הנחות!$B$5*G69</f>
        <v>84.02</v>
      </c>
      <c r="N69" s="11" t="n">
        <f aca="false">ROUND(M69*הנחות!$B$4,0)</f>
        <v>1262148</v>
      </c>
      <c r="O69" s="11" t="n">
        <f aca="false">ROUND(N69*(1+הנחות!$B$6),0)</f>
        <v>1489335</v>
      </c>
      <c r="P69" s="11" t="n">
        <f aca="false">MIN(הנחות!$B$7*O69,הנחות!$B$8)</f>
        <v>297867</v>
      </c>
      <c r="Q69" s="11" t="n">
        <f aca="false">O69-P69</f>
        <v>1191468</v>
      </c>
      <c r="R69" s="11" t="n">
        <f aca="false">ROUND(הנחות!$B$9*(F69+הנחות!$B$10*G69),0)</f>
        <v>2081280</v>
      </c>
      <c r="S69" s="11" t="n">
        <f aca="false">R69-Q69</f>
        <v>889812</v>
      </c>
      <c r="T69" s="9" t="n">
        <f aca="false">RANK(S69,S$2:S$85)</f>
        <v>57</v>
      </c>
    </row>
    <row r="70" customFormat="false" ht="15" hidden="false" customHeight="false" outlineLevel="0" collapsed="false">
      <c r="A70" s="9" t="n">
        <v>3</v>
      </c>
      <c r="B70" s="9" t="n">
        <v>15</v>
      </c>
      <c r="C70" s="9" t="n">
        <v>3</v>
      </c>
      <c r="D70" s="9" t="s">
        <v>66</v>
      </c>
      <c r="E70" s="9" t="n">
        <v>4</v>
      </c>
      <c r="F70" s="9" t="n">
        <v>107.43</v>
      </c>
      <c r="G70" s="9" t="n">
        <v>14</v>
      </c>
      <c r="H70" s="9" t="n">
        <v>1</v>
      </c>
      <c r="I70" s="9"/>
      <c r="J70" s="9" t="s">
        <v>49</v>
      </c>
      <c r="K70" s="9" t="s">
        <v>59</v>
      </c>
      <c r="L70" s="9" t="n">
        <v>110</v>
      </c>
      <c r="M70" s="10" t="n">
        <f aca="false">F70+הנחות!$B$5*G70</f>
        <v>111.63</v>
      </c>
      <c r="N70" s="11" t="n">
        <f aca="false">ROUND(M70*הנחות!$B$4,0)</f>
        <v>1676906</v>
      </c>
      <c r="O70" s="11" t="n">
        <f aca="false">ROUND(N70*(1+הנחות!$B$6),0)</f>
        <v>1978749</v>
      </c>
      <c r="P70" s="11" t="n">
        <f aca="false">MIN(הנחות!$B$7*O70,הנחות!$B$8)</f>
        <v>300000</v>
      </c>
      <c r="Q70" s="11" t="n">
        <f aca="false">O70-P70</f>
        <v>1678749</v>
      </c>
      <c r="R70" s="11" t="n">
        <f aca="false">ROUND(הנחות!$B$9*(F70+הנחות!$B$10*G70),0)</f>
        <v>2746320</v>
      </c>
      <c r="S70" s="11" t="n">
        <f aca="false">R70-Q70</f>
        <v>1067571</v>
      </c>
      <c r="T70" s="9" t="n">
        <f aca="false">RANK(S70,S$2:S$85)</f>
        <v>21</v>
      </c>
    </row>
    <row r="71" customFormat="false" ht="15" hidden="false" customHeight="false" outlineLevel="0" collapsed="false">
      <c r="A71" s="9" t="n">
        <v>3</v>
      </c>
      <c r="B71" s="9" t="n">
        <v>16</v>
      </c>
      <c r="C71" s="9" t="n">
        <v>3</v>
      </c>
      <c r="D71" s="9" t="s">
        <v>67</v>
      </c>
      <c r="E71" s="9" t="n">
        <v>4</v>
      </c>
      <c r="F71" s="9" t="n">
        <v>109.01</v>
      </c>
      <c r="G71" s="9" t="n">
        <v>14</v>
      </c>
      <c r="H71" s="9" t="n">
        <v>1</v>
      </c>
      <c r="I71" s="9"/>
      <c r="J71" s="9" t="s">
        <v>52</v>
      </c>
      <c r="K71" s="9" t="s">
        <v>59</v>
      </c>
      <c r="L71" s="9" t="n">
        <v>110</v>
      </c>
      <c r="M71" s="10" t="n">
        <f aca="false">F71+הנחות!$B$5*G71</f>
        <v>113.21</v>
      </c>
      <c r="N71" s="11" t="n">
        <f aca="false">ROUND(M71*הנחות!$B$4,0)</f>
        <v>1700641</v>
      </c>
      <c r="O71" s="11" t="n">
        <f aca="false">ROUND(N71*(1+הנחות!$B$6),0)</f>
        <v>2006756</v>
      </c>
      <c r="P71" s="11" t="n">
        <f aca="false">MIN(הנחות!$B$7*O71,הנחות!$B$8)</f>
        <v>300000</v>
      </c>
      <c r="Q71" s="11" t="n">
        <f aca="false">O71-P71</f>
        <v>1706756</v>
      </c>
      <c r="R71" s="11" t="n">
        <f aca="false">ROUND(הנחות!$B$9*(F71+הנחות!$B$10*G71),0)</f>
        <v>2784240</v>
      </c>
      <c r="S71" s="11" t="n">
        <f aca="false">R71-Q71</f>
        <v>1077484</v>
      </c>
      <c r="T71" s="9" t="n">
        <f aca="false">RANK(S71,S$2:S$85)</f>
        <v>1</v>
      </c>
    </row>
    <row r="72" customFormat="false" ht="15" hidden="false" customHeight="false" outlineLevel="0" collapsed="false">
      <c r="A72" s="9" t="n">
        <v>3</v>
      </c>
      <c r="B72" s="9" t="n">
        <v>17</v>
      </c>
      <c r="C72" s="9" t="n">
        <v>3</v>
      </c>
      <c r="D72" s="9" t="s">
        <v>68</v>
      </c>
      <c r="E72" s="9" t="n">
        <v>4</v>
      </c>
      <c r="F72" s="9" t="n">
        <v>109.52</v>
      </c>
      <c r="G72" s="9" t="n">
        <v>12.91</v>
      </c>
      <c r="H72" s="9" t="n">
        <v>1</v>
      </c>
      <c r="I72" s="9"/>
      <c r="J72" s="9" t="s">
        <v>56</v>
      </c>
      <c r="K72" s="9"/>
      <c r="L72" s="9" t="n">
        <v>110</v>
      </c>
      <c r="M72" s="10" t="n">
        <f aca="false">F72+הנחות!$B$5*G72</f>
        <v>113.393</v>
      </c>
      <c r="N72" s="11" t="n">
        <f aca="false">ROUND(M72*הנחות!$B$4,0)</f>
        <v>1703390</v>
      </c>
      <c r="O72" s="11" t="n">
        <f aca="false">ROUND(N72*(1+הנחות!$B$6),0)</f>
        <v>2010000</v>
      </c>
      <c r="P72" s="11" t="n">
        <f aca="false">MIN(הנחות!$B$7*O72,הנחות!$B$8)</f>
        <v>300000</v>
      </c>
      <c r="Q72" s="11" t="n">
        <f aca="false">O72-P72</f>
        <v>1710000</v>
      </c>
      <c r="R72" s="11" t="n">
        <f aca="false">ROUND(הנחות!$B$9*(F72+הנחות!$B$10*G72),0)</f>
        <v>2783400</v>
      </c>
      <c r="S72" s="11" t="n">
        <f aca="false">R72-Q72</f>
        <v>1073400</v>
      </c>
      <c r="T72" s="9" t="n">
        <f aca="false">RANK(S72,S$2:S$85)</f>
        <v>16</v>
      </c>
    </row>
    <row r="73" customFormat="false" ht="15" hidden="false" customHeight="false" outlineLevel="0" collapsed="false">
      <c r="A73" s="9" t="n">
        <v>3</v>
      </c>
      <c r="B73" s="9" t="n">
        <v>18</v>
      </c>
      <c r="C73" s="9" t="n">
        <v>3</v>
      </c>
      <c r="D73" s="9" t="s">
        <v>69</v>
      </c>
      <c r="E73" s="9" t="n">
        <v>3</v>
      </c>
      <c r="F73" s="9" t="n">
        <v>78.68</v>
      </c>
      <c r="G73" s="9" t="n">
        <v>7.37</v>
      </c>
      <c r="H73" s="9" t="n">
        <v>1</v>
      </c>
      <c r="I73" s="9"/>
      <c r="J73" s="9" t="s">
        <v>64</v>
      </c>
      <c r="K73" s="9"/>
      <c r="L73" s="9" t="n">
        <v>80</v>
      </c>
      <c r="M73" s="10" t="n">
        <f aca="false">F73+הנחות!$B$5*G73</f>
        <v>80.891</v>
      </c>
      <c r="N73" s="11" t="n">
        <f aca="false">ROUND(M73*הנחות!$B$4,0)</f>
        <v>1215145</v>
      </c>
      <c r="O73" s="11" t="n">
        <f aca="false">ROUND(N73*(1+הנחות!$B$6),0)</f>
        <v>1433871</v>
      </c>
      <c r="P73" s="11" t="n">
        <f aca="false">MIN(הנחות!$B$7*O73,הנחות!$B$8)</f>
        <v>286774.2</v>
      </c>
      <c r="Q73" s="11" t="n">
        <f aca="false">O73-P73</f>
        <v>1147096.8</v>
      </c>
      <c r="R73" s="11" t="n">
        <f aca="false">ROUND(הנחות!$B$9*(F73+הנחות!$B$10*G73),0)</f>
        <v>1976760</v>
      </c>
      <c r="S73" s="11" t="n">
        <f aca="false">R73-Q73</f>
        <v>829663.2</v>
      </c>
      <c r="T73" s="9" t="n">
        <f aca="false">RANK(S73,S$2:S$85)</f>
        <v>74</v>
      </c>
    </row>
    <row r="74" customFormat="false" ht="15" hidden="false" customHeight="false" outlineLevel="0" collapsed="false">
      <c r="A74" s="9" t="n">
        <v>3</v>
      </c>
      <c r="B74" s="9" t="n">
        <v>19</v>
      </c>
      <c r="C74" s="9" t="n">
        <v>4</v>
      </c>
      <c r="D74" s="9" t="s">
        <v>65</v>
      </c>
      <c r="E74" s="9" t="n">
        <v>3</v>
      </c>
      <c r="F74" s="9" t="n">
        <v>79.97</v>
      </c>
      <c r="G74" s="9" t="n">
        <v>13.5</v>
      </c>
      <c r="H74" s="9" t="n">
        <v>1</v>
      </c>
      <c r="I74" s="9"/>
      <c r="J74" s="9" t="s">
        <v>47</v>
      </c>
      <c r="K74" s="9"/>
      <c r="L74" s="9" t="n">
        <v>80</v>
      </c>
      <c r="M74" s="10" t="n">
        <f aca="false">F74+הנחות!$B$5*G74</f>
        <v>84.02</v>
      </c>
      <c r="N74" s="11" t="n">
        <f aca="false">ROUND(M74*הנחות!$B$4,0)</f>
        <v>1262148</v>
      </c>
      <c r="O74" s="11" t="n">
        <f aca="false">ROUND(N74*(1+הנחות!$B$6),0)</f>
        <v>1489335</v>
      </c>
      <c r="P74" s="11" t="n">
        <f aca="false">MIN(הנחות!$B$7*O74,הנחות!$B$8)</f>
        <v>297867</v>
      </c>
      <c r="Q74" s="11" t="n">
        <f aca="false">O74-P74</f>
        <v>1191468</v>
      </c>
      <c r="R74" s="11" t="n">
        <f aca="false">ROUND(הנחות!$B$9*(F74+הנחות!$B$10*G74),0)</f>
        <v>2081280</v>
      </c>
      <c r="S74" s="11" t="n">
        <f aca="false">R74-Q74</f>
        <v>889812</v>
      </c>
      <c r="T74" s="9" t="n">
        <f aca="false">RANK(S74,S$2:S$85)</f>
        <v>57</v>
      </c>
    </row>
    <row r="75" customFormat="false" ht="15" hidden="false" customHeight="false" outlineLevel="0" collapsed="false">
      <c r="A75" s="9" t="n">
        <v>3</v>
      </c>
      <c r="B75" s="9" t="n">
        <v>20</v>
      </c>
      <c r="C75" s="9" t="n">
        <v>4</v>
      </c>
      <c r="D75" s="9" t="s">
        <v>66</v>
      </c>
      <c r="E75" s="9" t="n">
        <v>4</v>
      </c>
      <c r="F75" s="9" t="n">
        <v>107.43</v>
      </c>
      <c r="G75" s="9" t="n">
        <v>14</v>
      </c>
      <c r="H75" s="9" t="n">
        <v>1</v>
      </c>
      <c r="I75" s="9"/>
      <c r="J75" s="9" t="s">
        <v>49</v>
      </c>
      <c r="K75" s="9" t="s">
        <v>59</v>
      </c>
      <c r="L75" s="9" t="n">
        <v>110</v>
      </c>
      <c r="M75" s="10" t="n">
        <f aca="false">F75+הנחות!$B$5*G75</f>
        <v>111.63</v>
      </c>
      <c r="N75" s="11" t="n">
        <f aca="false">ROUND(M75*הנחות!$B$4,0)</f>
        <v>1676906</v>
      </c>
      <c r="O75" s="11" t="n">
        <f aca="false">ROUND(N75*(1+הנחות!$B$6),0)</f>
        <v>1978749</v>
      </c>
      <c r="P75" s="11" t="n">
        <f aca="false">MIN(הנחות!$B$7*O75,הנחות!$B$8)</f>
        <v>300000</v>
      </c>
      <c r="Q75" s="11" t="n">
        <f aca="false">O75-P75</f>
        <v>1678749</v>
      </c>
      <c r="R75" s="11" t="n">
        <f aca="false">ROUND(הנחות!$B$9*(F75+הנחות!$B$10*G75),0)</f>
        <v>2746320</v>
      </c>
      <c r="S75" s="11" t="n">
        <f aca="false">R75-Q75</f>
        <v>1067571</v>
      </c>
      <c r="T75" s="9" t="n">
        <f aca="false">RANK(S75,S$2:S$85)</f>
        <v>21</v>
      </c>
    </row>
    <row r="76" customFormat="false" ht="15" hidden="false" customHeight="false" outlineLevel="0" collapsed="false">
      <c r="A76" s="9" t="n">
        <v>3</v>
      </c>
      <c r="B76" s="9" t="n">
        <v>21</v>
      </c>
      <c r="C76" s="9" t="n">
        <v>4</v>
      </c>
      <c r="D76" s="9" t="s">
        <v>67</v>
      </c>
      <c r="E76" s="9" t="n">
        <v>4</v>
      </c>
      <c r="F76" s="9" t="n">
        <v>109.01</v>
      </c>
      <c r="G76" s="9" t="n">
        <v>14</v>
      </c>
      <c r="H76" s="9" t="n">
        <v>1</v>
      </c>
      <c r="I76" s="9"/>
      <c r="J76" s="9" t="s">
        <v>52</v>
      </c>
      <c r="K76" s="9" t="s">
        <v>59</v>
      </c>
      <c r="L76" s="9" t="n">
        <v>110</v>
      </c>
      <c r="M76" s="10" t="n">
        <f aca="false">F76+הנחות!$B$5*G76</f>
        <v>113.21</v>
      </c>
      <c r="N76" s="11" t="n">
        <f aca="false">ROUND(M76*הנחות!$B$4,0)</f>
        <v>1700641</v>
      </c>
      <c r="O76" s="11" t="n">
        <f aca="false">ROUND(N76*(1+הנחות!$B$6),0)</f>
        <v>2006756</v>
      </c>
      <c r="P76" s="11" t="n">
        <f aca="false">MIN(הנחות!$B$7*O76,הנחות!$B$8)</f>
        <v>300000</v>
      </c>
      <c r="Q76" s="11" t="n">
        <f aca="false">O76-P76</f>
        <v>1706756</v>
      </c>
      <c r="R76" s="11" t="n">
        <f aca="false">ROUND(הנחות!$B$9*(F76+הנחות!$B$10*G76),0)</f>
        <v>2784240</v>
      </c>
      <c r="S76" s="11" t="n">
        <f aca="false">R76-Q76</f>
        <v>1077484</v>
      </c>
      <c r="T76" s="9" t="n">
        <f aca="false">RANK(S76,S$2:S$85)</f>
        <v>1</v>
      </c>
    </row>
    <row r="77" customFormat="false" ht="15" hidden="false" customHeight="false" outlineLevel="0" collapsed="false">
      <c r="A77" s="9" t="n">
        <v>3</v>
      </c>
      <c r="B77" s="9" t="n">
        <v>22</v>
      </c>
      <c r="C77" s="9" t="n">
        <v>4</v>
      </c>
      <c r="D77" s="9" t="s">
        <v>68</v>
      </c>
      <c r="E77" s="9" t="n">
        <v>4</v>
      </c>
      <c r="F77" s="9" t="n">
        <v>109.52</v>
      </c>
      <c r="G77" s="9" t="n">
        <v>12.91</v>
      </c>
      <c r="H77" s="9" t="n">
        <v>1</v>
      </c>
      <c r="I77" s="9"/>
      <c r="J77" s="9" t="s">
        <v>56</v>
      </c>
      <c r="K77" s="9"/>
      <c r="L77" s="9" t="n">
        <v>110</v>
      </c>
      <c r="M77" s="10" t="n">
        <f aca="false">F77+הנחות!$B$5*G77</f>
        <v>113.393</v>
      </c>
      <c r="N77" s="11" t="n">
        <f aca="false">ROUND(M77*הנחות!$B$4,0)</f>
        <v>1703390</v>
      </c>
      <c r="O77" s="11" t="n">
        <f aca="false">ROUND(N77*(1+הנחות!$B$6),0)</f>
        <v>2010000</v>
      </c>
      <c r="P77" s="11" t="n">
        <f aca="false">MIN(הנחות!$B$7*O77,הנחות!$B$8)</f>
        <v>300000</v>
      </c>
      <c r="Q77" s="11" t="n">
        <f aca="false">O77-P77</f>
        <v>1710000</v>
      </c>
      <c r="R77" s="11" t="n">
        <f aca="false">ROUND(הנחות!$B$9*(F77+הנחות!$B$10*G77),0)</f>
        <v>2783400</v>
      </c>
      <c r="S77" s="11" t="n">
        <f aca="false">R77-Q77</f>
        <v>1073400</v>
      </c>
      <c r="T77" s="9" t="n">
        <f aca="false">RANK(S77,S$2:S$85)</f>
        <v>16</v>
      </c>
    </row>
    <row r="78" customFormat="false" ht="15" hidden="false" customHeight="false" outlineLevel="0" collapsed="false">
      <c r="A78" s="9" t="n">
        <v>3</v>
      </c>
      <c r="B78" s="9" t="n">
        <v>23</v>
      </c>
      <c r="C78" s="9" t="n">
        <v>4</v>
      </c>
      <c r="D78" s="9" t="s">
        <v>69</v>
      </c>
      <c r="E78" s="9" t="n">
        <v>3</v>
      </c>
      <c r="F78" s="9" t="n">
        <v>78.68</v>
      </c>
      <c r="G78" s="9" t="n">
        <v>7.37</v>
      </c>
      <c r="H78" s="9" t="n">
        <v>1</v>
      </c>
      <c r="I78" s="9"/>
      <c r="J78" s="9" t="s">
        <v>64</v>
      </c>
      <c r="K78" s="9"/>
      <c r="L78" s="9" t="n">
        <v>80</v>
      </c>
      <c r="M78" s="10" t="n">
        <f aca="false">F78+הנחות!$B$5*G78</f>
        <v>80.891</v>
      </c>
      <c r="N78" s="11" t="n">
        <f aca="false">ROUND(M78*הנחות!$B$4,0)</f>
        <v>1215145</v>
      </c>
      <c r="O78" s="11" t="n">
        <f aca="false">ROUND(N78*(1+הנחות!$B$6),0)</f>
        <v>1433871</v>
      </c>
      <c r="P78" s="11" t="n">
        <f aca="false">MIN(הנחות!$B$7*O78,הנחות!$B$8)</f>
        <v>286774.2</v>
      </c>
      <c r="Q78" s="11" t="n">
        <f aca="false">O78-P78</f>
        <v>1147096.8</v>
      </c>
      <c r="R78" s="11" t="n">
        <f aca="false">ROUND(הנחות!$B$9*(F78+הנחות!$B$10*G78),0)</f>
        <v>1976760</v>
      </c>
      <c r="S78" s="11" t="n">
        <f aca="false">R78-Q78</f>
        <v>829663.2</v>
      </c>
      <c r="T78" s="9" t="n">
        <f aca="false">RANK(S78,S$2:S$85)</f>
        <v>74</v>
      </c>
    </row>
    <row r="79" customFormat="false" ht="15" hidden="false" customHeight="false" outlineLevel="0" collapsed="false">
      <c r="A79" s="9" t="n">
        <v>3</v>
      </c>
      <c r="B79" s="9" t="n">
        <v>24</v>
      </c>
      <c r="C79" s="9" t="n">
        <v>5</v>
      </c>
      <c r="D79" s="9" t="s">
        <v>65</v>
      </c>
      <c r="E79" s="9" t="n">
        <v>3</v>
      </c>
      <c r="F79" s="9" t="n">
        <v>79.97</v>
      </c>
      <c r="G79" s="9" t="n">
        <v>13.5</v>
      </c>
      <c r="H79" s="9" t="n">
        <v>1</v>
      </c>
      <c r="I79" s="9"/>
      <c r="J79" s="9" t="s">
        <v>47</v>
      </c>
      <c r="K79" s="9"/>
      <c r="L79" s="9" t="n">
        <v>80</v>
      </c>
      <c r="M79" s="10" t="n">
        <f aca="false">F79+הנחות!$B$5*G79</f>
        <v>84.02</v>
      </c>
      <c r="N79" s="11" t="n">
        <f aca="false">ROUND(M79*הנחות!$B$4,0)</f>
        <v>1262148</v>
      </c>
      <c r="O79" s="11" t="n">
        <f aca="false">ROUND(N79*(1+הנחות!$B$6),0)</f>
        <v>1489335</v>
      </c>
      <c r="P79" s="11" t="n">
        <f aca="false">MIN(הנחות!$B$7*O79,הנחות!$B$8)</f>
        <v>297867</v>
      </c>
      <c r="Q79" s="11" t="n">
        <f aca="false">O79-P79</f>
        <v>1191468</v>
      </c>
      <c r="R79" s="11" t="n">
        <f aca="false">ROUND(הנחות!$B$9*(F79+הנחות!$B$10*G79),0)</f>
        <v>2081280</v>
      </c>
      <c r="S79" s="11" t="n">
        <f aca="false">R79-Q79</f>
        <v>889812</v>
      </c>
      <c r="T79" s="9" t="n">
        <f aca="false">RANK(S79,S$2:S$85)</f>
        <v>57</v>
      </c>
    </row>
    <row r="80" customFormat="false" ht="15" hidden="false" customHeight="false" outlineLevel="0" collapsed="false">
      <c r="A80" s="9" t="n">
        <v>3</v>
      </c>
      <c r="B80" s="9" t="n">
        <v>25</v>
      </c>
      <c r="C80" s="9" t="n">
        <v>5</v>
      </c>
      <c r="D80" s="9" t="s">
        <v>66</v>
      </c>
      <c r="E80" s="9" t="n">
        <v>4</v>
      </c>
      <c r="F80" s="9" t="n">
        <v>107.43</v>
      </c>
      <c r="G80" s="9" t="n">
        <v>14</v>
      </c>
      <c r="H80" s="9" t="n">
        <v>1</v>
      </c>
      <c r="I80" s="9"/>
      <c r="J80" s="9" t="s">
        <v>49</v>
      </c>
      <c r="K80" s="9" t="s">
        <v>59</v>
      </c>
      <c r="L80" s="9" t="n">
        <v>110</v>
      </c>
      <c r="M80" s="10" t="n">
        <f aca="false">F80+הנחות!$B$5*G80</f>
        <v>111.63</v>
      </c>
      <c r="N80" s="11" t="n">
        <f aca="false">ROUND(M80*הנחות!$B$4,0)</f>
        <v>1676906</v>
      </c>
      <c r="O80" s="11" t="n">
        <f aca="false">ROUND(N80*(1+הנחות!$B$6),0)</f>
        <v>1978749</v>
      </c>
      <c r="P80" s="11" t="n">
        <f aca="false">MIN(הנחות!$B$7*O80,הנחות!$B$8)</f>
        <v>300000</v>
      </c>
      <c r="Q80" s="11" t="n">
        <f aca="false">O80-P80</f>
        <v>1678749</v>
      </c>
      <c r="R80" s="11" t="n">
        <f aca="false">ROUND(הנחות!$B$9*(F80+הנחות!$B$10*G80),0)</f>
        <v>2746320</v>
      </c>
      <c r="S80" s="11" t="n">
        <f aca="false">R80-Q80</f>
        <v>1067571</v>
      </c>
      <c r="T80" s="9" t="n">
        <f aca="false">RANK(S80,S$2:S$85)</f>
        <v>21</v>
      </c>
    </row>
    <row r="81" customFormat="false" ht="15" hidden="false" customHeight="false" outlineLevel="0" collapsed="false">
      <c r="A81" s="9" t="n">
        <v>3</v>
      </c>
      <c r="B81" s="9" t="n">
        <v>26</v>
      </c>
      <c r="C81" s="9" t="n">
        <v>5</v>
      </c>
      <c r="D81" s="9" t="s">
        <v>67</v>
      </c>
      <c r="E81" s="9" t="n">
        <v>4</v>
      </c>
      <c r="F81" s="9" t="n">
        <v>109.01</v>
      </c>
      <c r="G81" s="9" t="n">
        <v>14</v>
      </c>
      <c r="H81" s="9" t="n">
        <v>1</v>
      </c>
      <c r="I81" s="9"/>
      <c r="J81" s="9" t="s">
        <v>52</v>
      </c>
      <c r="K81" s="9" t="s">
        <v>59</v>
      </c>
      <c r="L81" s="9" t="n">
        <v>110</v>
      </c>
      <c r="M81" s="10" t="n">
        <f aca="false">F81+הנחות!$B$5*G81</f>
        <v>113.21</v>
      </c>
      <c r="N81" s="11" t="n">
        <f aca="false">ROUND(M81*הנחות!$B$4,0)</f>
        <v>1700641</v>
      </c>
      <c r="O81" s="11" t="n">
        <f aca="false">ROUND(N81*(1+הנחות!$B$6),0)</f>
        <v>2006756</v>
      </c>
      <c r="P81" s="11" t="n">
        <f aca="false">MIN(הנחות!$B$7*O81,הנחות!$B$8)</f>
        <v>300000</v>
      </c>
      <c r="Q81" s="11" t="n">
        <f aca="false">O81-P81</f>
        <v>1706756</v>
      </c>
      <c r="R81" s="11" t="n">
        <f aca="false">ROUND(הנחות!$B$9*(F81+הנחות!$B$10*G81),0)</f>
        <v>2784240</v>
      </c>
      <c r="S81" s="11" t="n">
        <f aca="false">R81-Q81</f>
        <v>1077484</v>
      </c>
      <c r="T81" s="9" t="n">
        <f aca="false">RANK(S81,S$2:S$85)</f>
        <v>1</v>
      </c>
    </row>
    <row r="82" customFormat="false" ht="15" hidden="false" customHeight="false" outlineLevel="0" collapsed="false">
      <c r="A82" s="9" t="n">
        <v>3</v>
      </c>
      <c r="B82" s="9" t="n">
        <v>27</v>
      </c>
      <c r="C82" s="9" t="n">
        <v>5</v>
      </c>
      <c r="D82" s="9" t="s">
        <v>68</v>
      </c>
      <c r="E82" s="9" t="n">
        <v>4</v>
      </c>
      <c r="F82" s="9" t="n">
        <v>109.52</v>
      </c>
      <c r="G82" s="9" t="n">
        <v>12.91</v>
      </c>
      <c r="H82" s="9" t="n">
        <v>1</v>
      </c>
      <c r="I82" s="9"/>
      <c r="J82" s="9" t="s">
        <v>56</v>
      </c>
      <c r="K82" s="9"/>
      <c r="L82" s="9" t="n">
        <v>110</v>
      </c>
      <c r="M82" s="10" t="n">
        <f aca="false">F82+הנחות!$B$5*G82</f>
        <v>113.393</v>
      </c>
      <c r="N82" s="11" t="n">
        <f aca="false">ROUND(M82*הנחות!$B$4,0)</f>
        <v>1703390</v>
      </c>
      <c r="O82" s="11" t="n">
        <f aca="false">ROUND(N82*(1+הנחות!$B$6),0)</f>
        <v>2010000</v>
      </c>
      <c r="P82" s="11" t="n">
        <f aca="false">MIN(הנחות!$B$7*O82,הנחות!$B$8)</f>
        <v>300000</v>
      </c>
      <c r="Q82" s="11" t="n">
        <f aca="false">O82-P82</f>
        <v>1710000</v>
      </c>
      <c r="R82" s="11" t="n">
        <f aca="false">ROUND(הנחות!$B$9*(F82+הנחות!$B$10*G82),0)</f>
        <v>2783400</v>
      </c>
      <c r="S82" s="11" t="n">
        <f aca="false">R82-Q82</f>
        <v>1073400</v>
      </c>
      <c r="T82" s="9" t="n">
        <f aca="false">RANK(S82,S$2:S$85)</f>
        <v>16</v>
      </c>
    </row>
    <row r="83" customFormat="false" ht="15" hidden="false" customHeight="false" outlineLevel="0" collapsed="false">
      <c r="A83" s="9" t="n">
        <v>3</v>
      </c>
      <c r="B83" s="9" t="n">
        <v>28</v>
      </c>
      <c r="C83" s="9" t="n">
        <v>5</v>
      </c>
      <c r="D83" s="9" t="s">
        <v>69</v>
      </c>
      <c r="E83" s="9" t="n">
        <v>3</v>
      </c>
      <c r="F83" s="9" t="n">
        <v>78.68</v>
      </c>
      <c r="G83" s="9" t="n">
        <v>7.37</v>
      </c>
      <c r="H83" s="9" t="n">
        <v>1</v>
      </c>
      <c r="I83" s="9"/>
      <c r="J83" s="9" t="s">
        <v>64</v>
      </c>
      <c r="K83" s="9"/>
      <c r="L83" s="9" t="n">
        <v>80</v>
      </c>
      <c r="M83" s="10" t="n">
        <f aca="false">F83+הנחות!$B$5*G83</f>
        <v>80.891</v>
      </c>
      <c r="N83" s="11" t="n">
        <f aca="false">ROUND(M83*הנחות!$B$4,0)</f>
        <v>1215145</v>
      </c>
      <c r="O83" s="11" t="n">
        <f aca="false">ROUND(N83*(1+הנחות!$B$6),0)</f>
        <v>1433871</v>
      </c>
      <c r="P83" s="11" t="n">
        <f aca="false">MIN(הנחות!$B$7*O83,הנחות!$B$8)</f>
        <v>286774.2</v>
      </c>
      <c r="Q83" s="11" t="n">
        <f aca="false">O83-P83</f>
        <v>1147096.8</v>
      </c>
      <c r="R83" s="11" t="n">
        <f aca="false">ROUND(הנחות!$B$9*(F83+הנחות!$B$10*G83),0)</f>
        <v>1976760</v>
      </c>
      <c r="S83" s="11" t="n">
        <f aca="false">R83-Q83</f>
        <v>829663.2</v>
      </c>
      <c r="T83" s="9" t="n">
        <f aca="false">RANK(S83,S$2:S$85)</f>
        <v>74</v>
      </c>
    </row>
    <row r="84" customFormat="false" ht="15" hidden="false" customHeight="false" outlineLevel="0" collapsed="false">
      <c r="A84" s="9" t="n">
        <v>3</v>
      </c>
      <c r="B84" s="9" t="n">
        <v>30</v>
      </c>
      <c r="C84" s="9" t="n">
        <v>6</v>
      </c>
      <c r="D84" s="9" t="s">
        <v>66</v>
      </c>
      <c r="E84" s="9" t="n">
        <v>4</v>
      </c>
      <c r="F84" s="9" t="n">
        <v>107.43</v>
      </c>
      <c r="G84" s="9" t="n">
        <v>14</v>
      </c>
      <c r="H84" s="9" t="n">
        <v>1</v>
      </c>
      <c r="I84" s="9"/>
      <c r="J84" s="9" t="s">
        <v>49</v>
      </c>
      <c r="K84" s="9" t="s">
        <v>59</v>
      </c>
      <c r="L84" s="9" t="n">
        <v>110</v>
      </c>
      <c r="M84" s="10" t="n">
        <f aca="false">F84+הנחות!$B$5*G84</f>
        <v>111.63</v>
      </c>
      <c r="N84" s="11" t="n">
        <f aca="false">ROUND(M84*הנחות!$B$4,0)</f>
        <v>1676906</v>
      </c>
      <c r="O84" s="11" t="n">
        <f aca="false">ROUND(N84*(1+הנחות!$B$6),0)</f>
        <v>1978749</v>
      </c>
      <c r="P84" s="11" t="n">
        <f aca="false">MIN(הנחות!$B$7*O84,הנחות!$B$8)</f>
        <v>300000</v>
      </c>
      <c r="Q84" s="11" t="n">
        <f aca="false">O84-P84</f>
        <v>1678749</v>
      </c>
      <c r="R84" s="11" t="n">
        <f aca="false">ROUND(הנחות!$B$9*(F84+הנחות!$B$10*G84),0)</f>
        <v>2746320</v>
      </c>
      <c r="S84" s="11" t="n">
        <f aca="false">R84-Q84</f>
        <v>1067571</v>
      </c>
      <c r="T84" s="9" t="n">
        <f aca="false">RANK(S84,S$2:S$85)</f>
        <v>21</v>
      </c>
    </row>
    <row r="85" customFormat="false" ht="15" hidden="false" customHeight="false" outlineLevel="0" collapsed="false">
      <c r="A85" s="9" t="n">
        <v>3</v>
      </c>
      <c r="B85" s="9" t="n">
        <v>31</v>
      </c>
      <c r="C85" s="9" t="n">
        <v>6</v>
      </c>
      <c r="D85" s="9" t="s">
        <v>67</v>
      </c>
      <c r="E85" s="9" t="n">
        <v>4</v>
      </c>
      <c r="F85" s="9" t="n">
        <v>109.01</v>
      </c>
      <c r="G85" s="9" t="n">
        <v>14</v>
      </c>
      <c r="H85" s="9" t="n">
        <v>1</v>
      </c>
      <c r="I85" s="9"/>
      <c r="J85" s="9" t="s">
        <v>52</v>
      </c>
      <c r="K85" s="9" t="s">
        <v>59</v>
      </c>
      <c r="L85" s="9" t="n">
        <v>110</v>
      </c>
      <c r="M85" s="10" t="n">
        <f aca="false">F85+הנחות!$B$5*G85</f>
        <v>113.21</v>
      </c>
      <c r="N85" s="11" t="n">
        <f aca="false">ROUND(M85*הנחות!$B$4,0)</f>
        <v>1700641</v>
      </c>
      <c r="O85" s="11" t="n">
        <f aca="false">ROUND(N85*(1+הנחות!$B$6),0)</f>
        <v>2006756</v>
      </c>
      <c r="P85" s="11" t="n">
        <f aca="false">MIN(הנחות!$B$7*O85,הנחות!$B$8)</f>
        <v>300000</v>
      </c>
      <c r="Q85" s="11" t="n">
        <f aca="false">O85-P85</f>
        <v>1706756</v>
      </c>
      <c r="R85" s="11" t="n">
        <f aca="false">ROUND(הנחות!$B$9*(F85+הנחות!$B$10*G85),0)</f>
        <v>2784240</v>
      </c>
      <c r="S85" s="11" t="n">
        <f aca="false">R85-Q85</f>
        <v>1077484</v>
      </c>
      <c r="T85" s="9" t="n">
        <f aca="false">RANK(S85,S$2:S$85)</f>
        <v>1</v>
      </c>
    </row>
  </sheetData>
  <autoFilter ref="A1:T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7"/>
    <col collapsed="false" customWidth="true" hidden="false" outlineLevel="0" max="5" min="4" style="0" width="8"/>
    <col collapsed="false" customWidth="true" hidden="false" outlineLevel="0" max="7" min="6" style="0" width="12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23.85" hidden="false" customHeight="false" outlineLevel="0" collapsed="false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J1" s="8" t="s">
        <v>35</v>
      </c>
      <c r="K1" s="8" t="s">
        <v>36</v>
      </c>
      <c r="L1" s="8" t="s">
        <v>37</v>
      </c>
      <c r="M1" s="8" t="s">
        <v>70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0</v>
      </c>
      <c r="D2" s="9" t="s">
        <v>71</v>
      </c>
      <c r="E2" s="9" t="n">
        <v>4</v>
      </c>
      <c r="F2" s="9" t="n">
        <v>160.7</v>
      </c>
      <c r="G2" s="9"/>
      <c r="H2" s="9"/>
      <c r="I2" s="9" t="s">
        <v>59</v>
      </c>
      <c r="J2" s="9" t="s">
        <v>52</v>
      </c>
      <c r="K2" s="9" t="s">
        <v>50</v>
      </c>
      <c r="L2" s="9"/>
      <c r="M2" s="10"/>
      <c r="N2" s="12"/>
      <c r="O2" s="12"/>
      <c r="P2" s="12"/>
      <c r="Q2" s="12"/>
      <c r="R2" s="12"/>
      <c r="S2" s="12"/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1</v>
      </c>
      <c r="D3" s="9" t="s">
        <v>46</v>
      </c>
      <c r="E3" s="9" t="n">
        <v>3</v>
      </c>
      <c r="F3" s="9" t="n">
        <v>87.77</v>
      </c>
      <c r="G3" s="9" t="n">
        <v>21.67</v>
      </c>
      <c r="H3" s="9" t="n">
        <v>2</v>
      </c>
      <c r="I3" s="9"/>
      <c r="J3" s="9" t="s">
        <v>47</v>
      </c>
      <c r="K3" s="9"/>
      <c r="L3" s="9" t="n">
        <v>110</v>
      </c>
      <c r="M3" s="10" t="s">
        <v>59</v>
      </c>
      <c r="N3" s="12"/>
      <c r="O3" s="12"/>
      <c r="P3" s="12"/>
      <c r="Q3" s="12"/>
      <c r="R3" s="12"/>
      <c r="S3" s="12"/>
    </row>
    <row r="4" customFormat="false" ht="15" hidden="false" customHeight="false" outlineLevel="0" collapsed="false">
      <c r="A4" s="9" t="n">
        <v>1</v>
      </c>
      <c r="B4" s="9" t="n">
        <v>3</v>
      </c>
      <c r="C4" s="9" t="n">
        <v>1</v>
      </c>
      <c r="D4" s="9" t="s">
        <v>48</v>
      </c>
      <c r="E4" s="9" t="n">
        <v>4</v>
      </c>
      <c r="F4" s="9" t="n">
        <v>107.95</v>
      </c>
      <c r="G4" s="9" t="n">
        <v>11.88</v>
      </c>
      <c r="H4" s="9" t="n">
        <v>1</v>
      </c>
      <c r="I4" s="9"/>
      <c r="J4" s="9" t="s">
        <v>49</v>
      </c>
      <c r="K4" s="9" t="s">
        <v>50</v>
      </c>
      <c r="L4" s="9" t="n">
        <v>110</v>
      </c>
      <c r="M4" s="10" t="s">
        <v>59</v>
      </c>
      <c r="N4" s="12"/>
      <c r="O4" s="12"/>
      <c r="P4" s="12"/>
      <c r="Q4" s="12"/>
      <c r="R4" s="12"/>
      <c r="S4" s="12"/>
    </row>
    <row r="5" customFormat="false" ht="15" hidden="false" customHeight="false" outlineLevel="0" collapsed="false">
      <c r="A5" s="9" t="n">
        <v>1</v>
      </c>
      <c r="B5" s="9" t="n">
        <v>4</v>
      </c>
      <c r="C5" s="9" t="n">
        <v>1</v>
      </c>
      <c r="D5" s="9" t="s">
        <v>51</v>
      </c>
      <c r="E5" s="9" t="n">
        <v>3</v>
      </c>
      <c r="F5" s="9" t="n">
        <v>79.72</v>
      </c>
      <c r="G5" s="9" t="n">
        <v>13.6</v>
      </c>
      <c r="H5" s="9" t="n">
        <v>1</v>
      </c>
      <c r="I5" s="9"/>
      <c r="J5" s="9" t="s">
        <v>52</v>
      </c>
      <c r="K5" s="9" t="s">
        <v>50</v>
      </c>
      <c r="L5" s="9" t="n">
        <v>80</v>
      </c>
      <c r="M5" s="10" t="s">
        <v>59</v>
      </c>
      <c r="N5" s="12"/>
      <c r="O5" s="12"/>
      <c r="P5" s="12"/>
      <c r="Q5" s="12"/>
      <c r="R5" s="12"/>
      <c r="S5" s="12"/>
    </row>
    <row r="6" customFormat="false" ht="15" hidden="false" customHeight="false" outlineLevel="0" collapsed="false">
      <c r="A6" s="9" t="n">
        <v>1</v>
      </c>
      <c r="B6" s="9" t="n">
        <v>5</v>
      </c>
      <c r="C6" s="9" t="n">
        <v>1</v>
      </c>
      <c r="D6" s="9" t="s">
        <v>53</v>
      </c>
      <c r="E6" s="9" t="n">
        <v>3</v>
      </c>
      <c r="F6" s="9" t="n">
        <v>78.78</v>
      </c>
      <c r="G6" s="9" t="n">
        <v>7.4</v>
      </c>
      <c r="H6" s="9" t="n">
        <v>1</v>
      </c>
      <c r="I6" s="9"/>
      <c r="J6" s="9" t="s">
        <v>54</v>
      </c>
      <c r="K6" s="9"/>
      <c r="L6" s="9" t="n">
        <v>80</v>
      </c>
      <c r="M6" s="10" t="s">
        <v>59</v>
      </c>
      <c r="N6" s="12"/>
      <c r="O6" s="12"/>
      <c r="P6" s="12"/>
      <c r="Q6" s="12"/>
      <c r="R6" s="12"/>
      <c r="S6" s="12"/>
    </row>
    <row r="7" customFormat="false" ht="15" hidden="false" customHeight="false" outlineLevel="0" collapsed="false">
      <c r="A7" s="9" t="n">
        <v>1</v>
      </c>
      <c r="B7" s="9" t="n">
        <v>6</v>
      </c>
      <c r="C7" s="9" t="n">
        <v>1</v>
      </c>
      <c r="D7" s="9" t="s">
        <v>55</v>
      </c>
      <c r="E7" s="9" t="n">
        <v>4</v>
      </c>
      <c r="F7" s="9" t="n">
        <v>109.6</v>
      </c>
      <c r="G7" s="9" t="n">
        <v>13.01</v>
      </c>
      <c r="H7" s="9" t="n">
        <v>1</v>
      </c>
      <c r="I7" s="9"/>
      <c r="J7" s="9" t="s">
        <v>56</v>
      </c>
      <c r="K7" s="9"/>
      <c r="L7" s="9" t="n">
        <v>110</v>
      </c>
      <c r="M7" s="10" t="s">
        <v>59</v>
      </c>
      <c r="N7" s="12"/>
      <c r="O7" s="12"/>
      <c r="P7" s="12"/>
      <c r="Q7" s="12"/>
      <c r="R7" s="12"/>
      <c r="S7" s="12"/>
    </row>
    <row r="8" customFormat="false" ht="15" hidden="false" customHeight="false" outlineLevel="0" collapsed="false">
      <c r="A8" s="9" t="n">
        <v>1</v>
      </c>
      <c r="B8" s="9" t="n">
        <v>7</v>
      </c>
      <c r="C8" s="9" t="n">
        <v>2</v>
      </c>
      <c r="D8" s="9" t="s">
        <v>46</v>
      </c>
      <c r="E8" s="9" t="n">
        <v>3</v>
      </c>
      <c r="F8" s="9" t="n">
        <v>87.77</v>
      </c>
      <c r="G8" s="9" t="n">
        <v>21.67</v>
      </c>
      <c r="H8" s="9" t="n">
        <v>2</v>
      </c>
      <c r="I8" s="9"/>
      <c r="J8" s="9" t="s">
        <v>47</v>
      </c>
      <c r="K8" s="9"/>
      <c r="L8" s="9" t="n">
        <v>110</v>
      </c>
      <c r="M8" s="10" t="s">
        <v>59</v>
      </c>
      <c r="N8" s="12"/>
      <c r="O8" s="12"/>
      <c r="P8" s="12"/>
      <c r="Q8" s="12"/>
      <c r="R8" s="12"/>
      <c r="S8" s="12"/>
    </row>
    <row r="9" customFormat="false" ht="15" hidden="false" customHeight="false" outlineLevel="0" collapsed="false">
      <c r="A9" s="9" t="n">
        <v>1</v>
      </c>
      <c r="B9" s="9" t="n">
        <v>8</v>
      </c>
      <c r="C9" s="9" t="n">
        <v>2</v>
      </c>
      <c r="D9" s="9" t="s">
        <v>48</v>
      </c>
      <c r="E9" s="9" t="n">
        <v>4</v>
      </c>
      <c r="F9" s="9" t="n">
        <v>107.95</v>
      </c>
      <c r="G9" s="9" t="n">
        <v>11.88</v>
      </c>
      <c r="H9" s="9" t="n">
        <v>1</v>
      </c>
      <c r="I9" s="9"/>
      <c r="J9" s="9" t="s">
        <v>49</v>
      </c>
      <c r="K9" s="9" t="s">
        <v>50</v>
      </c>
      <c r="L9" s="9" t="n">
        <v>110</v>
      </c>
      <c r="M9" s="10" t="s">
        <v>59</v>
      </c>
      <c r="N9" s="12"/>
      <c r="O9" s="12"/>
      <c r="P9" s="12"/>
      <c r="Q9" s="12"/>
      <c r="R9" s="12"/>
      <c r="S9" s="12"/>
    </row>
    <row r="10" customFormat="false" ht="15" hidden="false" customHeight="false" outlineLevel="0" collapsed="false">
      <c r="A10" s="9" t="n">
        <v>1</v>
      </c>
      <c r="B10" s="9" t="n">
        <v>9</v>
      </c>
      <c r="C10" s="9" t="n">
        <v>2</v>
      </c>
      <c r="D10" s="9" t="s">
        <v>51</v>
      </c>
      <c r="E10" s="9" t="n">
        <v>3</v>
      </c>
      <c r="F10" s="9" t="n">
        <v>79.72</v>
      </c>
      <c r="G10" s="9" t="n">
        <v>13.6</v>
      </c>
      <c r="H10" s="9" t="n">
        <v>1</v>
      </c>
      <c r="I10" s="9"/>
      <c r="J10" s="9" t="s">
        <v>52</v>
      </c>
      <c r="K10" s="9" t="s">
        <v>50</v>
      </c>
      <c r="L10" s="9" t="n">
        <v>80</v>
      </c>
      <c r="M10" s="10" t="s">
        <v>59</v>
      </c>
      <c r="N10" s="12"/>
      <c r="O10" s="12"/>
      <c r="P10" s="12"/>
      <c r="Q10" s="12"/>
      <c r="R10" s="12"/>
      <c r="S10" s="12"/>
    </row>
    <row r="11" customFormat="false" ht="15" hidden="false" customHeight="false" outlineLevel="0" collapsed="false">
      <c r="A11" s="9" t="n">
        <v>1</v>
      </c>
      <c r="B11" s="9" t="n">
        <v>10</v>
      </c>
      <c r="C11" s="9" t="n">
        <v>2</v>
      </c>
      <c r="D11" s="9" t="s">
        <v>53</v>
      </c>
      <c r="E11" s="9" t="n">
        <v>3</v>
      </c>
      <c r="F11" s="9" t="n">
        <v>78.78</v>
      </c>
      <c r="G11" s="9" t="n">
        <v>7.4</v>
      </c>
      <c r="H11" s="9" t="n">
        <v>1</v>
      </c>
      <c r="I11" s="9"/>
      <c r="J11" s="9" t="s">
        <v>54</v>
      </c>
      <c r="K11" s="9"/>
      <c r="L11" s="9" t="n">
        <v>80</v>
      </c>
      <c r="M11" s="10" t="s">
        <v>59</v>
      </c>
      <c r="N11" s="12"/>
      <c r="O11" s="12"/>
      <c r="P11" s="12"/>
      <c r="Q11" s="12"/>
      <c r="R11" s="12"/>
      <c r="S11" s="12"/>
    </row>
    <row r="12" customFormat="false" ht="15" hidden="false" customHeight="false" outlineLevel="0" collapsed="false">
      <c r="A12" s="9" t="n">
        <v>1</v>
      </c>
      <c r="B12" s="9" t="n">
        <v>11</v>
      </c>
      <c r="C12" s="9" t="n">
        <v>2</v>
      </c>
      <c r="D12" s="9" t="s">
        <v>55</v>
      </c>
      <c r="E12" s="9" t="n">
        <v>4</v>
      </c>
      <c r="F12" s="9" t="n">
        <v>109.6</v>
      </c>
      <c r="G12" s="9" t="n">
        <v>13.01</v>
      </c>
      <c r="H12" s="9" t="n">
        <v>1</v>
      </c>
      <c r="I12" s="9"/>
      <c r="J12" s="9" t="s">
        <v>56</v>
      </c>
      <c r="K12" s="9"/>
      <c r="L12" s="9" t="n">
        <v>110</v>
      </c>
      <c r="M12" s="10" t="s">
        <v>59</v>
      </c>
      <c r="N12" s="12"/>
      <c r="O12" s="12"/>
      <c r="P12" s="12"/>
      <c r="Q12" s="12"/>
      <c r="R12" s="12"/>
      <c r="S12" s="12"/>
    </row>
    <row r="13" customFormat="false" ht="15" hidden="false" customHeight="false" outlineLevel="0" collapsed="false">
      <c r="A13" s="9" t="n">
        <v>1</v>
      </c>
      <c r="B13" s="9" t="n">
        <v>12</v>
      </c>
      <c r="C13" s="9" t="n">
        <v>3</v>
      </c>
      <c r="D13" s="9" t="s">
        <v>46</v>
      </c>
      <c r="E13" s="9" t="n">
        <v>3</v>
      </c>
      <c r="F13" s="9" t="n">
        <v>87.77</v>
      </c>
      <c r="G13" s="9" t="n">
        <v>21.67</v>
      </c>
      <c r="H13" s="9" t="n">
        <v>2</v>
      </c>
      <c r="I13" s="9"/>
      <c r="J13" s="9" t="s">
        <v>47</v>
      </c>
      <c r="K13" s="9"/>
      <c r="L13" s="9" t="n">
        <v>110</v>
      </c>
      <c r="M13" s="10" t="s">
        <v>59</v>
      </c>
      <c r="N13" s="12"/>
      <c r="O13" s="12"/>
      <c r="P13" s="12"/>
      <c r="Q13" s="12"/>
      <c r="R13" s="12"/>
      <c r="S13" s="12"/>
    </row>
    <row r="14" customFormat="false" ht="15" hidden="false" customHeight="false" outlineLevel="0" collapsed="false">
      <c r="A14" s="9" t="n">
        <v>1</v>
      </c>
      <c r="B14" s="9" t="n">
        <v>13</v>
      </c>
      <c r="C14" s="9" t="n">
        <v>3</v>
      </c>
      <c r="D14" s="9" t="s">
        <v>48</v>
      </c>
      <c r="E14" s="9" t="n">
        <v>4</v>
      </c>
      <c r="F14" s="9" t="n">
        <v>107.95</v>
      </c>
      <c r="G14" s="9" t="n">
        <v>11.88</v>
      </c>
      <c r="H14" s="9" t="n">
        <v>1</v>
      </c>
      <c r="I14" s="9"/>
      <c r="J14" s="9" t="s">
        <v>49</v>
      </c>
      <c r="K14" s="9" t="s">
        <v>50</v>
      </c>
      <c r="L14" s="9" t="n">
        <v>110</v>
      </c>
      <c r="M14" s="10" t="s">
        <v>59</v>
      </c>
      <c r="N14" s="12"/>
      <c r="O14" s="12"/>
      <c r="P14" s="12"/>
      <c r="Q14" s="12"/>
      <c r="R14" s="12"/>
      <c r="S14" s="12"/>
    </row>
    <row r="15" customFormat="false" ht="15" hidden="false" customHeight="false" outlineLevel="0" collapsed="false">
      <c r="A15" s="9" t="n">
        <v>1</v>
      </c>
      <c r="B15" s="9" t="n">
        <v>14</v>
      </c>
      <c r="C15" s="9" t="n">
        <v>3</v>
      </c>
      <c r="D15" s="9" t="s">
        <v>51</v>
      </c>
      <c r="E15" s="9" t="n">
        <v>3</v>
      </c>
      <c r="F15" s="9" t="n">
        <v>79.72</v>
      </c>
      <c r="G15" s="9" t="n">
        <v>13.6</v>
      </c>
      <c r="H15" s="9" t="n">
        <v>1</v>
      </c>
      <c r="I15" s="9"/>
      <c r="J15" s="9" t="s">
        <v>52</v>
      </c>
      <c r="K15" s="9" t="s">
        <v>50</v>
      </c>
      <c r="L15" s="9" t="n">
        <v>80</v>
      </c>
      <c r="M15" s="10" t="s">
        <v>59</v>
      </c>
      <c r="N15" s="12"/>
      <c r="O15" s="12"/>
      <c r="P15" s="12"/>
      <c r="Q15" s="12"/>
      <c r="R15" s="12"/>
      <c r="S15" s="12"/>
    </row>
    <row r="16" customFormat="false" ht="15" hidden="false" customHeight="false" outlineLevel="0" collapsed="false">
      <c r="A16" s="9" t="n">
        <v>1</v>
      </c>
      <c r="B16" s="9" t="n">
        <v>15</v>
      </c>
      <c r="C16" s="9" t="n">
        <v>3</v>
      </c>
      <c r="D16" s="9" t="s">
        <v>53</v>
      </c>
      <c r="E16" s="9" t="n">
        <v>3</v>
      </c>
      <c r="F16" s="9" t="n">
        <v>78.78</v>
      </c>
      <c r="G16" s="9" t="n">
        <v>7.4</v>
      </c>
      <c r="H16" s="9" t="n">
        <v>1</v>
      </c>
      <c r="I16" s="9"/>
      <c r="J16" s="9" t="s">
        <v>54</v>
      </c>
      <c r="K16" s="9"/>
      <c r="L16" s="9" t="n">
        <v>80</v>
      </c>
      <c r="M16" s="10" t="s">
        <v>59</v>
      </c>
      <c r="N16" s="12"/>
      <c r="O16" s="12"/>
      <c r="P16" s="12"/>
      <c r="Q16" s="12"/>
      <c r="R16" s="12"/>
      <c r="S16" s="12"/>
    </row>
    <row r="17" customFormat="false" ht="15" hidden="false" customHeight="false" outlineLevel="0" collapsed="false">
      <c r="A17" s="9" t="n">
        <v>1</v>
      </c>
      <c r="B17" s="9" t="n">
        <v>16</v>
      </c>
      <c r="C17" s="9" t="n">
        <v>3</v>
      </c>
      <c r="D17" s="9" t="s">
        <v>55</v>
      </c>
      <c r="E17" s="9" t="n">
        <v>4</v>
      </c>
      <c r="F17" s="9" t="n">
        <v>109.6</v>
      </c>
      <c r="G17" s="9" t="n">
        <v>13.01</v>
      </c>
      <c r="H17" s="9" t="n">
        <v>1</v>
      </c>
      <c r="I17" s="9"/>
      <c r="J17" s="9" t="s">
        <v>56</v>
      </c>
      <c r="K17" s="9"/>
      <c r="L17" s="9" t="n">
        <v>110</v>
      </c>
      <c r="M17" s="10" t="s">
        <v>59</v>
      </c>
      <c r="N17" s="12"/>
      <c r="O17" s="12"/>
      <c r="P17" s="12"/>
      <c r="Q17" s="12"/>
      <c r="R17" s="12"/>
      <c r="S17" s="12"/>
    </row>
    <row r="18" customFormat="false" ht="15" hidden="false" customHeight="false" outlineLevel="0" collapsed="false">
      <c r="A18" s="9" t="n">
        <v>1</v>
      </c>
      <c r="B18" s="9" t="n">
        <v>17</v>
      </c>
      <c r="C18" s="9" t="n">
        <v>4</v>
      </c>
      <c r="D18" s="9" t="s">
        <v>46</v>
      </c>
      <c r="E18" s="9" t="n">
        <v>3</v>
      </c>
      <c r="F18" s="9" t="n">
        <v>87.77</v>
      </c>
      <c r="G18" s="9" t="n">
        <v>21.67</v>
      </c>
      <c r="H18" s="9" t="n">
        <v>2</v>
      </c>
      <c r="I18" s="9"/>
      <c r="J18" s="9" t="s">
        <v>47</v>
      </c>
      <c r="K18" s="9"/>
      <c r="L18" s="9" t="n">
        <v>110</v>
      </c>
      <c r="M18" s="10" t="s">
        <v>59</v>
      </c>
      <c r="N18" s="12"/>
      <c r="O18" s="12"/>
      <c r="P18" s="12"/>
      <c r="Q18" s="12"/>
      <c r="R18" s="12"/>
      <c r="S18" s="12"/>
    </row>
    <row r="19" customFormat="false" ht="15" hidden="false" customHeight="false" outlineLevel="0" collapsed="false">
      <c r="A19" s="9" t="n">
        <v>1</v>
      </c>
      <c r="B19" s="9" t="n">
        <v>18</v>
      </c>
      <c r="C19" s="9" t="n">
        <v>4</v>
      </c>
      <c r="D19" s="9" t="s">
        <v>48</v>
      </c>
      <c r="E19" s="9" t="n">
        <v>4</v>
      </c>
      <c r="F19" s="9" t="n">
        <v>107.95</v>
      </c>
      <c r="G19" s="9" t="n">
        <v>11.88</v>
      </c>
      <c r="H19" s="9" t="n">
        <v>1</v>
      </c>
      <c r="I19" s="9"/>
      <c r="J19" s="9" t="s">
        <v>49</v>
      </c>
      <c r="K19" s="9" t="s">
        <v>50</v>
      </c>
      <c r="L19" s="9" t="n">
        <v>110</v>
      </c>
      <c r="M19" s="10" t="s">
        <v>59</v>
      </c>
      <c r="N19" s="12"/>
      <c r="O19" s="12"/>
      <c r="P19" s="12"/>
      <c r="Q19" s="12"/>
      <c r="R19" s="12"/>
      <c r="S19" s="12"/>
    </row>
    <row r="20" customFormat="false" ht="15" hidden="false" customHeight="false" outlineLevel="0" collapsed="false">
      <c r="A20" s="9" t="n">
        <v>1</v>
      </c>
      <c r="B20" s="9" t="n">
        <v>19</v>
      </c>
      <c r="C20" s="9" t="n">
        <v>4</v>
      </c>
      <c r="D20" s="9" t="s">
        <v>51</v>
      </c>
      <c r="E20" s="9" t="n">
        <v>3</v>
      </c>
      <c r="F20" s="9" t="n">
        <v>79.72</v>
      </c>
      <c r="G20" s="9" t="n">
        <v>13.6</v>
      </c>
      <c r="H20" s="9" t="n">
        <v>1</v>
      </c>
      <c r="I20" s="9"/>
      <c r="J20" s="9" t="s">
        <v>52</v>
      </c>
      <c r="K20" s="9" t="s">
        <v>50</v>
      </c>
      <c r="L20" s="9" t="n">
        <v>80</v>
      </c>
      <c r="M20" s="10" t="s">
        <v>59</v>
      </c>
      <c r="N20" s="12"/>
      <c r="O20" s="12"/>
      <c r="P20" s="12"/>
      <c r="Q20" s="12"/>
      <c r="R20" s="12"/>
      <c r="S20" s="12"/>
    </row>
    <row r="21" customFormat="false" ht="15" hidden="false" customHeight="false" outlineLevel="0" collapsed="false">
      <c r="A21" s="9" t="n">
        <v>1</v>
      </c>
      <c r="B21" s="9" t="n">
        <v>20</v>
      </c>
      <c r="C21" s="9" t="n">
        <v>4</v>
      </c>
      <c r="D21" s="9" t="s">
        <v>53</v>
      </c>
      <c r="E21" s="9" t="n">
        <v>3</v>
      </c>
      <c r="F21" s="9" t="n">
        <v>78.78</v>
      </c>
      <c r="G21" s="9" t="n">
        <v>7.4</v>
      </c>
      <c r="H21" s="9" t="n">
        <v>1</v>
      </c>
      <c r="I21" s="9"/>
      <c r="J21" s="9" t="s">
        <v>54</v>
      </c>
      <c r="K21" s="9"/>
      <c r="L21" s="9" t="n">
        <v>80</v>
      </c>
      <c r="M21" s="10" t="s">
        <v>59</v>
      </c>
      <c r="N21" s="12"/>
      <c r="O21" s="12"/>
      <c r="P21" s="12"/>
      <c r="Q21" s="12"/>
      <c r="R21" s="12"/>
      <c r="S21" s="12"/>
    </row>
    <row r="22" customFormat="false" ht="15" hidden="false" customHeight="false" outlineLevel="0" collapsed="false">
      <c r="A22" s="9" t="n">
        <v>1</v>
      </c>
      <c r="B22" s="9" t="n">
        <v>21</v>
      </c>
      <c r="C22" s="9" t="n">
        <v>4</v>
      </c>
      <c r="D22" s="9" t="s">
        <v>55</v>
      </c>
      <c r="E22" s="9" t="n">
        <v>4</v>
      </c>
      <c r="F22" s="9" t="n">
        <v>109.6</v>
      </c>
      <c r="G22" s="9" t="n">
        <v>13.01</v>
      </c>
      <c r="H22" s="9" t="n">
        <v>1</v>
      </c>
      <c r="I22" s="9"/>
      <c r="J22" s="9" t="s">
        <v>56</v>
      </c>
      <c r="K22" s="9"/>
      <c r="L22" s="9" t="n">
        <v>110</v>
      </c>
      <c r="M22" s="10" t="s">
        <v>59</v>
      </c>
      <c r="N22" s="12"/>
      <c r="O22" s="12"/>
      <c r="P22" s="12"/>
      <c r="Q22" s="12"/>
      <c r="R22" s="12"/>
      <c r="S22" s="12"/>
    </row>
    <row r="23" customFormat="false" ht="15" hidden="false" customHeight="false" outlineLevel="0" collapsed="false">
      <c r="A23" s="9" t="n">
        <v>1</v>
      </c>
      <c r="B23" s="9" t="n">
        <v>22</v>
      </c>
      <c r="C23" s="9" t="n">
        <v>5</v>
      </c>
      <c r="D23" s="9" t="s">
        <v>46</v>
      </c>
      <c r="E23" s="9" t="n">
        <v>3</v>
      </c>
      <c r="F23" s="9" t="n">
        <v>87.77</v>
      </c>
      <c r="G23" s="9" t="n">
        <v>21.67</v>
      </c>
      <c r="H23" s="9" t="n">
        <v>2</v>
      </c>
      <c r="I23" s="9"/>
      <c r="J23" s="9" t="s">
        <v>47</v>
      </c>
      <c r="K23" s="9"/>
      <c r="L23" s="9" t="n">
        <v>110</v>
      </c>
      <c r="M23" s="10" t="s">
        <v>59</v>
      </c>
      <c r="N23" s="12"/>
      <c r="O23" s="12"/>
      <c r="P23" s="12"/>
      <c r="Q23" s="12"/>
      <c r="R23" s="12"/>
      <c r="S23" s="12"/>
    </row>
    <row r="24" customFormat="false" ht="15" hidden="false" customHeight="false" outlineLevel="0" collapsed="false">
      <c r="A24" s="9" t="n">
        <v>1</v>
      </c>
      <c r="B24" s="9" t="n">
        <v>23</v>
      </c>
      <c r="C24" s="9" t="n">
        <v>5</v>
      </c>
      <c r="D24" s="9" t="s">
        <v>48</v>
      </c>
      <c r="E24" s="9" t="n">
        <v>4</v>
      </c>
      <c r="F24" s="9" t="n">
        <v>107.95</v>
      </c>
      <c r="G24" s="9" t="n">
        <v>11.88</v>
      </c>
      <c r="H24" s="9" t="n">
        <v>1</v>
      </c>
      <c r="I24" s="9"/>
      <c r="J24" s="9" t="s">
        <v>49</v>
      </c>
      <c r="K24" s="9" t="s">
        <v>50</v>
      </c>
      <c r="L24" s="9" t="n">
        <v>110</v>
      </c>
      <c r="M24" s="10" t="s">
        <v>59</v>
      </c>
      <c r="N24" s="12"/>
      <c r="O24" s="12"/>
      <c r="P24" s="12"/>
      <c r="Q24" s="12"/>
      <c r="R24" s="12"/>
      <c r="S24" s="12"/>
    </row>
    <row r="25" customFormat="false" ht="15" hidden="false" customHeight="false" outlineLevel="0" collapsed="false">
      <c r="A25" s="9" t="n">
        <v>1</v>
      </c>
      <c r="B25" s="9" t="n">
        <v>24</v>
      </c>
      <c r="C25" s="9" t="n">
        <v>5</v>
      </c>
      <c r="D25" s="9" t="s">
        <v>51</v>
      </c>
      <c r="E25" s="9" t="n">
        <v>3</v>
      </c>
      <c r="F25" s="9" t="n">
        <v>79.72</v>
      </c>
      <c r="G25" s="9" t="n">
        <v>13.6</v>
      </c>
      <c r="H25" s="9" t="n">
        <v>1</v>
      </c>
      <c r="I25" s="9"/>
      <c r="J25" s="9" t="s">
        <v>52</v>
      </c>
      <c r="K25" s="9" t="s">
        <v>50</v>
      </c>
      <c r="L25" s="9" t="n">
        <v>80</v>
      </c>
      <c r="M25" s="10" t="s">
        <v>59</v>
      </c>
      <c r="N25" s="12"/>
      <c r="O25" s="12"/>
      <c r="P25" s="12"/>
      <c r="Q25" s="12"/>
      <c r="R25" s="12"/>
      <c r="S25" s="12"/>
    </row>
    <row r="26" customFormat="false" ht="15" hidden="false" customHeight="false" outlineLevel="0" collapsed="false">
      <c r="A26" s="9" t="n">
        <v>1</v>
      </c>
      <c r="B26" s="9" t="n">
        <v>25</v>
      </c>
      <c r="C26" s="9" t="n">
        <v>5</v>
      </c>
      <c r="D26" s="9" t="s">
        <v>53</v>
      </c>
      <c r="E26" s="9" t="n">
        <v>3</v>
      </c>
      <c r="F26" s="9" t="n">
        <v>78.78</v>
      </c>
      <c r="G26" s="9" t="n">
        <v>7.4</v>
      </c>
      <c r="H26" s="9" t="n">
        <v>1</v>
      </c>
      <c r="I26" s="9"/>
      <c r="J26" s="9" t="s">
        <v>54</v>
      </c>
      <c r="K26" s="9"/>
      <c r="L26" s="9" t="n">
        <v>80</v>
      </c>
      <c r="M26" s="10" t="s">
        <v>59</v>
      </c>
      <c r="N26" s="12"/>
      <c r="O26" s="12"/>
      <c r="P26" s="12"/>
      <c r="Q26" s="12"/>
      <c r="R26" s="12"/>
      <c r="S26" s="12"/>
    </row>
    <row r="27" customFormat="false" ht="15" hidden="false" customHeight="false" outlineLevel="0" collapsed="false">
      <c r="A27" s="9" t="n">
        <v>1</v>
      </c>
      <c r="B27" s="9" t="n">
        <v>26</v>
      </c>
      <c r="C27" s="9" t="n">
        <v>5</v>
      </c>
      <c r="D27" s="9" t="s">
        <v>55</v>
      </c>
      <c r="E27" s="9" t="n">
        <v>4</v>
      </c>
      <c r="F27" s="9" t="n">
        <v>109.6</v>
      </c>
      <c r="G27" s="9" t="n">
        <v>13.01</v>
      </c>
      <c r="H27" s="9" t="n">
        <v>1</v>
      </c>
      <c r="I27" s="9"/>
      <c r="J27" s="9" t="s">
        <v>56</v>
      </c>
      <c r="K27" s="9"/>
      <c r="L27" s="9" t="n">
        <v>110</v>
      </c>
      <c r="M27" s="10" t="s">
        <v>59</v>
      </c>
      <c r="N27" s="12"/>
      <c r="O27" s="12"/>
      <c r="P27" s="12"/>
      <c r="Q27" s="12"/>
      <c r="R27" s="12"/>
      <c r="S27" s="12"/>
    </row>
    <row r="28" customFormat="false" ht="15" hidden="false" customHeight="false" outlineLevel="0" collapsed="false">
      <c r="A28" s="9" t="n">
        <v>1</v>
      </c>
      <c r="B28" s="9" t="n">
        <v>27</v>
      </c>
      <c r="C28" s="9" t="n">
        <v>6</v>
      </c>
      <c r="D28" s="9" t="s">
        <v>46</v>
      </c>
      <c r="E28" s="9" t="n">
        <v>3</v>
      </c>
      <c r="F28" s="9" t="n">
        <v>87.77</v>
      </c>
      <c r="G28" s="9" t="n">
        <v>21.67</v>
      </c>
      <c r="H28" s="9" t="n">
        <v>2</v>
      </c>
      <c r="I28" s="9"/>
      <c r="J28" s="9" t="s">
        <v>47</v>
      </c>
      <c r="K28" s="9"/>
      <c r="L28" s="9" t="n">
        <v>110</v>
      </c>
      <c r="M28" s="10" t="s">
        <v>59</v>
      </c>
      <c r="N28" s="12"/>
      <c r="O28" s="12"/>
      <c r="P28" s="12"/>
      <c r="Q28" s="12"/>
      <c r="R28" s="12"/>
      <c r="S28" s="12"/>
    </row>
    <row r="29" customFormat="false" ht="15" hidden="false" customHeight="false" outlineLevel="0" collapsed="false">
      <c r="A29" s="9" t="n">
        <v>1</v>
      </c>
      <c r="B29" s="9" t="n">
        <v>28</v>
      </c>
      <c r="C29" s="9" t="n">
        <v>6</v>
      </c>
      <c r="D29" s="9" t="s">
        <v>48</v>
      </c>
      <c r="E29" s="9" t="n">
        <v>4</v>
      </c>
      <c r="F29" s="9" t="n">
        <v>107.95</v>
      </c>
      <c r="G29" s="9" t="n">
        <v>11.88</v>
      </c>
      <c r="H29" s="9" t="n">
        <v>1</v>
      </c>
      <c r="I29" s="9"/>
      <c r="J29" s="9" t="s">
        <v>49</v>
      </c>
      <c r="K29" s="9" t="s">
        <v>50</v>
      </c>
      <c r="L29" s="9" t="n">
        <v>110</v>
      </c>
      <c r="M29" s="10" t="s">
        <v>59</v>
      </c>
      <c r="N29" s="12"/>
      <c r="O29" s="12"/>
      <c r="P29" s="12"/>
      <c r="Q29" s="12"/>
      <c r="R29" s="12"/>
      <c r="S29" s="12"/>
    </row>
    <row r="30" customFormat="false" ht="15" hidden="false" customHeight="false" outlineLevel="0" collapsed="false">
      <c r="A30" s="9" t="n">
        <v>1</v>
      </c>
      <c r="B30" s="9" t="n">
        <v>29</v>
      </c>
      <c r="C30" s="9" t="n">
        <v>6</v>
      </c>
      <c r="D30" s="9" t="s">
        <v>51</v>
      </c>
      <c r="E30" s="9" t="n">
        <v>3</v>
      </c>
      <c r="F30" s="9" t="n">
        <v>79.72</v>
      </c>
      <c r="G30" s="9" t="n">
        <v>13.6</v>
      </c>
      <c r="H30" s="9" t="n">
        <v>1</v>
      </c>
      <c r="I30" s="9"/>
      <c r="J30" s="9" t="s">
        <v>52</v>
      </c>
      <c r="K30" s="9" t="s">
        <v>50</v>
      </c>
      <c r="L30" s="9" t="n">
        <v>80</v>
      </c>
      <c r="M30" s="10" t="s">
        <v>59</v>
      </c>
      <c r="N30" s="12"/>
      <c r="O30" s="12"/>
      <c r="P30" s="12"/>
      <c r="Q30" s="12"/>
      <c r="R30" s="12"/>
      <c r="S30" s="12"/>
    </row>
    <row r="31" customFormat="false" ht="15" hidden="false" customHeight="false" outlineLevel="0" collapsed="false">
      <c r="A31" s="9" t="n">
        <v>1</v>
      </c>
      <c r="B31" s="9" t="n">
        <v>30</v>
      </c>
      <c r="C31" s="9" t="n">
        <v>6</v>
      </c>
      <c r="D31" s="9" t="s">
        <v>53</v>
      </c>
      <c r="E31" s="9" t="n">
        <v>3</v>
      </c>
      <c r="F31" s="9" t="n">
        <v>78.78</v>
      </c>
      <c r="G31" s="9" t="n">
        <v>7.4</v>
      </c>
      <c r="H31" s="9" t="n">
        <v>1</v>
      </c>
      <c r="I31" s="9"/>
      <c r="J31" s="9" t="s">
        <v>54</v>
      </c>
      <c r="K31" s="9"/>
      <c r="L31" s="9" t="n">
        <v>80</v>
      </c>
      <c r="M31" s="10" t="s">
        <v>59</v>
      </c>
      <c r="N31" s="12"/>
      <c r="O31" s="12"/>
      <c r="P31" s="12"/>
      <c r="Q31" s="12"/>
      <c r="R31" s="12"/>
      <c r="S31" s="12"/>
    </row>
    <row r="32" customFormat="false" ht="15" hidden="false" customHeight="false" outlineLevel="0" collapsed="false">
      <c r="A32" s="9" t="n">
        <v>1</v>
      </c>
      <c r="B32" s="9" t="n">
        <v>31</v>
      </c>
      <c r="C32" s="9" t="n">
        <v>6</v>
      </c>
      <c r="D32" s="9" t="s">
        <v>55</v>
      </c>
      <c r="E32" s="9" t="n">
        <v>4</v>
      </c>
      <c r="F32" s="9" t="n">
        <v>109.6</v>
      </c>
      <c r="G32" s="9" t="n">
        <v>13.01</v>
      </c>
      <c r="H32" s="9" t="n">
        <v>1</v>
      </c>
      <c r="I32" s="9"/>
      <c r="J32" s="9" t="s">
        <v>56</v>
      </c>
      <c r="K32" s="9"/>
      <c r="L32" s="9"/>
      <c r="M32" s="10"/>
      <c r="N32" s="12"/>
      <c r="O32" s="12"/>
      <c r="P32" s="12"/>
      <c r="Q32" s="12"/>
      <c r="R32" s="12"/>
      <c r="S32" s="12"/>
    </row>
    <row r="33" customFormat="false" ht="15" hidden="false" customHeight="false" outlineLevel="0" collapsed="false">
      <c r="A33" s="9" t="n">
        <v>1</v>
      </c>
      <c r="B33" s="9" t="n">
        <v>32</v>
      </c>
      <c r="C33" s="9" t="n">
        <v>7</v>
      </c>
      <c r="D33" s="9" t="s">
        <v>46</v>
      </c>
      <c r="E33" s="9" t="n">
        <v>3</v>
      </c>
      <c r="F33" s="9" t="n">
        <v>87.77</v>
      </c>
      <c r="G33" s="9" t="n">
        <v>21.67</v>
      </c>
      <c r="H33" s="9" t="n">
        <v>2</v>
      </c>
      <c r="I33" s="9"/>
      <c r="J33" s="9" t="s">
        <v>47</v>
      </c>
      <c r="K33" s="9"/>
      <c r="L33" s="9" t="n">
        <v>110</v>
      </c>
      <c r="M33" s="10" t="s">
        <v>59</v>
      </c>
      <c r="N33" s="12"/>
      <c r="O33" s="12"/>
      <c r="P33" s="12"/>
      <c r="Q33" s="12"/>
      <c r="R33" s="12"/>
      <c r="S33" s="12"/>
    </row>
    <row r="34" customFormat="false" ht="15" hidden="false" customHeight="false" outlineLevel="0" collapsed="false">
      <c r="A34" s="9" t="n">
        <v>1</v>
      </c>
      <c r="B34" s="9" t="n">
        <v>33</v>
      </c>
      <c r="C34" s="9" t="n">
        <v>7</v>
      </c>
      <c r="D34" s="9" t="s">
        <v>48</v>
      </c>
      <c r="E34" s="9" t="n">
        <v>4</v>
      </c>
      <c r="F34" s="9" t="n">
        <v>107.95</v>
      </c>
      <c r="G34" s="9" t="n">
        <v>11.88</v>
      </c>
      <c r="H34" s="9" t="n">
        <v>1</v>
      </c>
      <c r="I34" s="9"/>
      <c r="J34" s="9" t="s">
        <v>49</v>
      </c>
      <c r="K34" s="9" t="s">
        <v>50</v>
      </c>
      <c r="L34" s="9" t="n">
        <v>110</v>
      </c>
      <c r="M34" s="10" t="s">
        <v>59</v>
      </c>
      <c r="N34" s="12"/>
      <c r="O34" s="12"/>
      <c r="P34" s="12"/>
      <c r="Q34" s="12"/>
      <c r="R34" s="12"/>
      <c r="S34" s="12"/>
    </row>
    <row r="35" customFormat="false" ht="15" hidden="false" customHeight="false" outlineLevel="0" collapsed="false">
      <c r="A35" s="9" t="n">
        <v>1</v>
      </c>
      <c r="B35" s="9" t="n">
        <v>34</v>
      </c>
      <c r="C35" s="9" t="n">
        <v>7</v>
      </c>
      <c r="D35" s="9" t="s">
        <v>72</v>
      </c>
      <c r="E35" s="9" t="n">
        <v>5</v>
      </c>
      <c r="F35" s="9" t="n">
        <v>131.06</v>
      </c>
      <c r="G35" s="9" t="n">
        <v>13.63</v>
      </c>
      <c r="H35" s="9" t="n">
        <v>1</v>
      </c>
      <c r="I35" s="9"/>
      <c r="J35" s="9" t="s">
        <v>52</v>
      </c>
      <c r="K35" s="9" t="s">
        <v>50</v>
      </c>
      <c r="L35" s="9"/>
      <c r="M35" s="10"/>
      <c r="N35" s="12"/>
      <c r="O35" s="12"/>
      <c r="P35" s="12"/>
      <c r="Q35" s="12"/>
      <c r="R35" s="12"/>
      <c r="S35" s="12"/>
    </row>
    <row r="36" customFormat="false" ht="15" hidden="false" customHeight="false" outlineLevel="0" collapsed="false">
      <c r="A36" s="9" t="n">
        <v>1</v>
      </c>
      <c r="B36" s="9" t="n">
        <v>35</v>
      </c>
      <c r="C36" s="9" t="n">
        <v>7</v>
      </c>
      <c r="D36" s="9" t="s">
        <v>73</v>
      </c>
      <c r="E36" s="9" t="n">
        <v>5</v>
      </c>
      <c r="F36" s="9" t="n">
        <v>143.31</v>
      </c>
      <c r="G36" s="9" t="n">
        <v>17.36</v>
      </c>
      <c r="H36" s="9" t="n">
        <v>2</v>
      </c>
      <c r="I36" s="9"/>
      <c r="J36" s="9" t="s">
        <v>56</v>
      </c>
      <c r="K36" s="9"/>
      <c r="L36" s="9"/>
      <c r="M36" s="10"/>
      <c r="N36" s="12"/>
      <c r="O36" s="12"/>
      <c r="P36" s="12"/>
      <c r="Q36" s="12"/>
      <c r="R36" s="12"/>
      <c r="S36" s="12"/>
    </row>
    <row r="37" customFormat="false" ht="15" hidden="false" customHeight="false" outlineLevel="0" collapsed="false">
      <c r="A37" s="9" t="n">
        <v>1</v>
      </c>
      <c r="B37" s="9" t="n">
        <v>36</v>
      </c>
      <c r="C37" s="9" t="n">
        <v>8</v>
      </c>
      <c r="D37" s="9" t="s">
        <v>74</v>
      </c>
      <c r="E37" s="9" t="n">
        <v>4</v>
      </c>
      <c r="F37" s="9" t="n">
        <v>160.46</v>
      </c>
      <c r="G37" s="9" t="n">
        <v>4.46</v>
      </c>
      <c r="H37" s="9" t="n">
        <v>1</v>
      </c>
      <c r="I37" s="9"/>
      <c r="J37" s="9" t="s">
        <v>75</v>
      </c>
      <c r="K37" s="9"/>
      <c r="L37" s="9"/>
      <c r="M37" s="10"/>
      <c r="N37" s="12"/>
      <c r="O37" s="12"/>
      <c r="P37" s="12"/>
      <c r="Q37" s="12"/>
      <c r="R37" s="12"/>
      <c r="S37" s="12"/>
    </row>
    <row r="38" customFormat="false" ht="15" hidden="false" customHeight="false" outlineLevel="0" collapsed="false">
      <c r="A38" s="9" t="n">
        <v>1</v>
      </c>
      <c r="B38" s="9" t="n">
        <v>37</v>
      </c>
      <c r="C38" s="9" t="n">
        <v>8</v>
      </c>
      <c r="D38" s="9" t="s">
        <v>74</v>
      </c>
      <c r="E38" s="9" t="n">
        <v>5</v>
      </c>
      <c r="F38" s="9" t="n">
        <v>158.9</v>
      </c>
      <c r="G38" s="9" t="n">
        <v>4.46</v>
      </c>
      <c r="H38" s="9" t="n">
        <v>1</v>
      </c>
      <c r="I38" s="9"/>
      <c r="J38" s="9" t="s">
        <v>76</v>
      </c>
      <c r="K38" s="9" t="s">
        <v>50</v>
      </c>
      <c r="L38" s="9"/>
      <c r="M38" s="10"/>
      <c r="N38" s="12"/>
      <c r="O38" s="12"/>
      <c r="P38" s="12"/>
      <c r="Q38" s="12"/>
      <c r="R38" s="12"/>
      <c r="S38" s="12"/>
    </row>
    <row r="39" customFormat="false" ht="15" hidden="false" customHeight="false" outlineLevel="0" collapsed="false">
      <c r="A39" s="9" t="n">
        <v>2</v>
      </c>
      <c r="B39" s="9" t="n">
        <v>1</v>
      </c>
      <c r="C39" s="9" t="n">
        <v>1</v>
      </c>
      <c r="D39" s="9" t="s">
        <v>57</v>
      </c>
      <c r="E39" s="9" t="n">
        <v>4</v>
      </c>
      <c r="F39" s="9" t="n">
        <v>107.49</v>
      </c>
      <c r="G39" s="9" t="n">
        <v>11.89</v>
      </c>
      <c r="H39" s="9" t="n">
        <v>1</v>
      </c>
      <c r="I39" s="9"/>
      <c r="J39" s="9" t="s">
        <v>47</v>
      </c>
      <c r="K39" s="9"/>
      <c r="L39" s="9" t="n">
        <v>110</v>
      </c>
      <c r="M39" s="10" t="s">
        <v>59</v>
      </c>
      <c r="N39" s="12"/>
      <c r="O39" s="12"/>
      <c r="P39" s="12"/>
      <c r="Q39" s="12"/>
      <c r="R39" s="12"/>
      <c r="S39" s="12"/>
    </row>
    <row r="40" customFormat="false" ht="15" hidden="false" customHeight="false" outlineLevel="0" collapsed="false">
      <c r="A40" s="9" t="n">
        <v>2</v>
      </c>
      <c r="B40" s="9" t="n">
        <v>2</v>
      </c>
      <c r="C40" s="9" t="n">
        <v>1</v>
      </c>
      <c r="D40" s="9" t="s">
        <v>58</v>
      </c>
      <c r="E40" s="9" t="n">
        <v>3</v>
      </c>
      <c r="F40" s="9" t="n">
        <v>87.66</v>
      </c>
      <c r="G40" s="9" t="n">
        <v>21.75</v>
      </c>
      <c r="H40" s="9" t="n">
        <v>2</v>
      </c>
      <c r="I40" s="9"/>
      <c r="J40" s="9" t="s">
        <v>49</v>
      </c>
      <c r="K40" s="9" t="s">
        <v>59</v>
      </c>
      <c r="L40" s="9" t="n">
        <v>110</v>
      </c>
      <c r="M40" s="10" t="s">
        <v>59</v>
      </c>
      <c r="N40" s="12"/>
      <c r="O40" s="12"/>
      <c r="P40" s="12"/>
      <c r="Q40" s="12"/>
      <c r="R40" s="12"/>
      <c r="S40" s="12"/>
    </row>
    <row r="41" customFormat="false" ht="15" hidden="false" customHeight="false" outlineLevel="0" collapsed="false">
      <c r="A41" s="9" t="n">
        <v>2</v>
      </c>
      <c r="B41" s="9" t="n">
        <v>3</v>
      </c>
      <c r="C41" s="9" t="n">
        <v>1</v>
      </c>
      <c r="D41" s="9" t="s">
        <v>60</v>
      </c>
      <c r="E41" s="9" t="n">
        <v>4</v>
      </c>
      <c r="F41" s="9" t="n">
        <v>109.62</v>
      </c>
      <c r="G41" s="9" t="n">
        <v>12.91</v>
      </c>
      <c r="H41" s="9" t="n">
        <v>1</v>
      </c>
      <c r="I41" s="9"/>
      <c r="J41" s="9" t="s">
        <v>52</v>
      </c>
      <c r="K41" s="9" t="s">
        <v>59</v>
      </c>
      <c r="L41" s="9" t="n">
        <v>110</v>
      </c>
      <c r="M41" s="10" t="s">
        <v>59</v>
      </c>
      <c r="N41" s="12"/>
      <c r="O41" s="12"/>
      <c r="P41" s="12"/>
      <c r="Q41" s="12"/>
      <c r="R41" s="12"/>
      <c r="S41" s="12"/>
    </row>
    <row r="42" customFormat="false" ht="15" hidden="false" customHeight="false" outlineLevel="0" collapsed="false">
      <c r="A42" s="9" t="n">
        <v>2</v>
      </c>
      <c r="B42" s="9" t="n">
        <v>4</v>
      </c>
      <c r="C42" s="9" t="n">
        <v>1</v>
      </c>
      <c r="D42" s="9" t="s">
        <v>61</v>
      </c>
      <c r="E42" s="9" t="n">
        <v>3</v>
      </c>
      <c r="F42" s="9" t="n">
        <v>78.65</v>
      </c>
      <c r="G42" s="9" t="n">
        <v>7.35</v>
      </c>
      <c r="H42" s="9" t="n">
        <v>1</v>
      </c>
      <c r="I42" s="9"/>
      <c r="J42" s="9" t="s">
        <v>54</v>
      </c>
      <c r="K42" s="9"/>
      <c r="L42" s="9" t="n">
        <v>80</v>
      </c>
      <c r="M42" s="10" t="s">
        <v>59</v>
      </c>
      <c r="N42" s="12"/>
      <c r="O42" s="12"/>
      <c r="P42" s="12"/>
      <c r="Q42" s="12"/>
      <c r="R42" s="12"/>
      <c r="S42" s="12"/>
    </row>
    <row r="43" customFormat="false" ht="15" hidden="false" customHeight="false" outlineLevel="0" collapsed="false">
      <c r="A43" s="9" t="n">
        <v>2</v>
      </c>
      <c r="B43" s="9" t="n">
        <v>5</v>
      </c>
      <c r="C43" s="9" t="n">
        <v>1</v>
      </c>
      <c r="D43" s="9" t="s">
        <v>62</v>
      </c>
      <c r="E43" s="9" t="n">
        <v>3</v>
      </c>
      <c r="F43" s="9" t="n">
        <v>79.9</v>
      </c>
      <c r="G43" s="9" t="n">
        <v>13.83</v>
      </c>
      <c r="H43" s="9" t="n">
        <v>1</v>
      </c>
      <c r="I43" s="9"/>
      <c r="J43" s="9" t="s">
        <v>56</v>
      </c>
      <c r="K43" s="9"/>
      <c r="L43" s="9" t="n">
        <v>80</v>
      </c>
      <c r="M43" s="10" t="s">
        <v>59</v>
      </c>
      <c r="N43" s="12"/>
      <c r="O43" s="12"/>
      <c r="P43" s="12"/>
      <c r="Q43" s="12"/>
      <c r="R43" s="12"/>
      <c r="S43" s="12"/>
    </row>
    <row r="44" customFormat="false" ht="15" hidden="false" customHeight="false" outlineLevel="0" collapsed="false">
      <c r="A44" s="9" t="n">
        <v>2</v>
      </c>
      <c r="B44" s="9" t="n">
        <v>6</v>
      </c>
      <c r="C44" s="9" t="n">
        <v>2</v>
      </c>
      <c r="D44" s="9" t="s">
        <v>57</v>
      </c>
      <c r="E44" s="9" t="n">
        <v>4</v>
      </c>
      <c r="F44" s="9" t="n">
        <v>107.49</v>
      </c>
      <c r="G44" s="9" t="n">
        <v>11.89</v>
      </c>
      <c r="H44" s="9" t="n">
        <v>1</v>
      </c>
      <c r="I44" s="9"/>
      <c r="J44" s="9" t="s">
        <v>47</v>
      </c>
      <c r="K44" s="9"/>
      <c r="L44" s="9" t="n">
        <v>110</v>
      </c>
      <c r="M44" s="10" t="s">
        <v>59</v>
      </c>
      <c r="N44" s="12"/>
      <c r="O44" s="12"/>
      <c r="P44" s="12"/>
      <c r="Q44" s="12"/>
      <c r="R44" s="12"/>
      <c r="S44" s="12"/>
    </row>
    <row r="45" customFormat="false" ht="15" hidden="false" customHeight="false" outlineLevel="0" collapsed="false">
      <c r="A45" s="9" t="n">
        <v>2</v>
      </c>
      <c r="B45" s="9" t="n">
        <v>7</v>
      </c>
      <c r="C45" s="9" t="n">
        <v>2</v>
      </c>
      <c r="D45" s="9" t="s">
        <v>58</v>
      </c>
      <c r="E45" s="9" t="n">
        <v>3</v>
      </c>
      <c r="F45" s="9" t="n">
        <v>87.66</v>
      </c>
      <c r="G45" s="9" t="n">
        <v>21.75</v>
      </c>
      <c r="H45" s="9" t="n">
        <v>2</v>
      </c>
      <c r="I45" s="9"/>
      <c r="J45" s="9" t="s">
        <v>49</v>
      </c>
      <c r="K45" s="9" t="s">
        <v>59</v>
      </c>
      <c r="L45" s="9" t="n">
        <v>110</v>
      </c>
      <c r="M45" s="10" t="s">
        <v>59</v>
      </c>
      <c r="N45" s="12"/>
      <c r="O45" s="12"/>
      <c r="P45" s="12"/>
      <c r="Q45" s="12"/>
      <c r="R45" s="12"/>
      <c r="S45" s="12"/>
    </row>
    <row r="46" customFormat="false" ht="15" hidden="false" customHeight="false" outlineLevel="0" collapsed="false">
      <c r="A46" s="9" t="n">
        <v>2</v>
      </c>
      <c r="B46" s="9" t="n">
        <v>8</v>
      </c>
      <c r="C46" s="9" t="n">
        <v>2</v>
      </c>
      <c r="D46" s="9" t="s">
        <v>60</v>
      </c>
      <c r="E46" s="9" t="n">
        <v>4</v>
      </c>
      <c r="F46" s="9" t="n">
        <v>109.62</v>
      </c>
      <c r="G46" s="9" t="n">
        <v>12.91</v>
      </c>
      <c r="H46" s="9" t="n">
        <v>1</v>
      </c>
      <c r="I46" s="9"/>
      <c r="J46" s="9" t="s">
        <v>52</v>
      </c>
      <c r="K46" s="9" t="s">
        <v>59</v>
      </c>
      <c r="L46" s="9" t="n">
        <v>110</v>
      </c>
      <c r="M46" s="10" t="s">
        <v>59</v>
      </c>
      <c r="N46" s="12"/>
      <c r="O46" s="12"/>
      <c r="P46" s="12"/>
      <c r="Q46" s="12"/>
      <c r="R46" s="12"/>
      <c r="S46" s="12"/>
    </row>
    <row r="47" customFormat="false" ht="15" hidden="false" customHeight="false" outlineLevel="0" collapsed="false">
      <c r="A47" s="9" t="n">
        <v>2</v>
      </c>
      <c r="B47" s="9" t="n">
        <v>9</v>
      </c>
      <c r="C47" s="9" t="n">
        <v>2</v>
      </c>
      <c r="D47" s="9" t="s">
        <v>61</v>
      </c>
      <c r="E47" s="9" t="n">
        <v>3</v>
      </c>
      <c r="F47" s="9" t="n">
        <v>78.65</v>
      </c>
      <c r="G47" s="9" t="n">
        <v>7.35</v>
      </c>
      <c r="H47" s="9" t="n">
        <v>1</v>
      </c>
      <c r="I47" s="9"/>
      <c r="J47" s="9" t="s">
        <v>54</v>
      </c>
      <c r="K47" s="9"/>
      <c r="L47" s="9" t="n">
        <v>80</v>
      </c>
      <c r="M47" s="10" t="s">
        <v>59</v>
      </c>
      <c r="N47" s="12"/>
      <c r="O47" s="12"/>
      <c r="P47" s="12"/>
      <c r="Q47" s="12"/>
      <c r="R47" s="12"/>
      <c r="S47" s="12"/>
    </row>
    <row r="48" customFormat="false" ht="15" hidden="false" customHeight="false" outlineLevel="0" collapsed="false">
      <c r="A48" s="9" t="n">
        <v>2</v>
      </c>
      <c r="B48" s="9" t="n">
        <v>10</v>
      </c>
      <c r="C48" s="9" t="n">
        <v>2</v>
      </c>
      <c r="D48" s="9" t="s">
        <v>62</v>
      </c>
      <c r="E48" s="9" t="n">
        <v>3</v>
      </c>
      <c r="F48" s="9" t="n">
        <v>79.9</v>
      </c>
      <c r="G48" s="9" t="n">
        <v>13.83</v>
      </c>
      <c r="H48" s="9" t="n">
        <v>1</v>
      </c>
      <c r="I48" s="9"/>
      <c r="J48" s="9" t="s">
        <v>56</v>
      </c>
      <c r="K48" s="9"/>
      <c r="L48" s="9" t="n">
        <v>80</v>
      </c>
      <c r="M48" s="10" t="s">
        <v>59</v>
      </c>
      <c r="N48" s="12"/>
      <c r="O48" s="12"/>
      <c r="P48" s="12"/>
      <c r="Q48" s="12"/>
      <c r="R48" s="12"/>
      <c r="S48" s="12"/>
    </row>
    <row r="49" customFormat="false" ht="15" hidden="false" customHeight="false" outlineLevel="0" collapsed="false">
      <c r="A49" s="9" t="n">
        <v>2</v>
      </c>
      <c r="B49" s="9" t="n">
        <v>11</v>
      </c>
      <c r="C49" s="9" t="n">
        <v>3</v>
      </c>
      <c r="D49" s="9" t="s">
        <v>57</v>
      </c>
      <c r="E49" s="9" t="n">
        <v>4</v>
      </c>
      <c r="F49" s="9" t="n">
        <v>107.49</v>
      </c>
      <c r="G49" s="9" t="n">
        <v>11.89</v>
      </c>
      <c r="H49" s="9" t="n">
        <v>1</v>
      </c>
      <c r="I49" s="9"/>
      <c r="J49" s="9" t="s">
        <v>47</v>
      </c>
      <c r="K49" s="9"/>
      <c r="L49" s="9" t="n">
        <v>110</v>
      </c>
      <c r="M49" s="10" t="s">
        <v>59</v>
      </c>
      <c r="N49" s="12"/>
      <c r="O49" s="12"/>
      <c r="P49" s="12"/>
      <c r="Q49" s="12"/>
      <c r="R49" s="12"/>
      <c r="S49" s="12"/>
    </row>
    <row r="50" customFormat="false" ht="15" hidden="false" customHeight="false" outlineLevel="0" collapsed="false">
      <c r="A50" s="9" t="n">
        <v>2</v>
      </c>
      <c r="B50" s="9" t="n">
        <v>12</v>
      </c>
      <c r="C50" s="9" t="n">
        <v>3</v>
      </c>
      <c r="D50" s="9" t="s">
        <v>58</v>
      </c>
      <c r="E50" s="9" t="n">
        <v>3</v>
      </c>
      <c r="F50" s="9" t="n">
        <v>87.66</v>
      </c>
      <c r="G50" s="9" t="n">
        <v>21.75</v>
      </c>
      <c r="H50" s="9" t="n">
        <v>2</v>
      </c>
      <c r="I50" s="9"/>
      <c r="J50" s="9" t="s">
        <v>49</v>
      </c>
      <c r="K50" s="9" t="s">
        <v>59</v>
      </c>
      <c r="L50" s="9" t="n">
        <v>110</v>
      </c>
      <c r="M50" s="10" t="s">
        <v>59</v>
      </c>
      <c r="N50" s="12"/>
      <c r="O50" s="12"/>
      <c r="P50" s="12"/>
      <c r="Q50" s="12"/>
      <c r="R50" s="12"/>
      <c r="S50" s="12"/>
    </row>
    <row r="51" customFormat="false" ht="15" hidden="false" customHeight="false" outlineLevel="0" collapsed="false">
      <c r="A51" s="9" t="n">
        <v>2</v>
      </c>
      <c r="B51" s="9" t="n">
        <v>13</v>
      </c>
      <c r="C51" s="9" t="n">
        <v>3</v>
      </c>
      <c r="D51" s="9" t="s">
        <v>60</v>
      </c>
      <c r="E51" s="9" t="n">
        <v>4</v>
      </c>
      <c r="F51" s="9" t="n">
        <v>109.62</v>
      </c>
      <c r="G51" s="9" t="n">
        <v>12.91</v>
      </c>
      <c r="H51" s="9" t="n">
        <v>1</v>
      </c>
      <c r="I51" s="9"/>
      <c r="J51" s="9" t="s">
        <v>52</v>
      </c>
      <c r="K51" s="9" t="s">
        <v>59</v>
      </c>
      <c r="L51" s="9" t="n">
        <v>110</v>
      </c>
      <c r="M51" s="10" t="s">
        <v>59</v>
      </c>
      <c r="N51" s="12"/>
      <c r="O51" s="12"/>
      <c r="P51" s="12"/>
      <c r="Q51" s="12"/>
      <c r="R51" s="12"/>
      <c r="S51" s="12"/>
    </row>
    <row r="52" customFormat="false" ht="15" hidden="false" customHeight="false" outlineLevel="0" collapsed="false">
      <c r="A52" s="9" t="n">
        <v>2</v>
      </c>
      <c r="B52" s="9" t="n">
        <v>14</v>
      </c>
      <c r="C52" s="9" t="n">
        <v>3</v>
      </c>
      <c r="D52" s="9" t="s">
        <v>61</v>
      </c>
      <c r="E52" s="9" t="n">
        <v>3</v>
      </c>
      <c r="F52" s="9" t="n">
        <v>78.65</v>
      </c>
      <c r="G52" s="9" t="n">
        <v>7.35</v>
      </c>
      <c r="H52" s="9" t="n">
        <v>1</v>
      </c>
      <c r="I52" s="9"/>
      <c r="J52" s="9" t="s">
        <v>54</v>
      </c>
      <c r="K52" s="9"/>
      <c r="L52" s="9" t="n">
        <v>80</v>
      </c>
      <c r="M52" s="10" t="s">
        <v>59</v>
      </c>
      <c r="N52" s="12"/>
      <c r="O52" s="12"/>
      <c r="P52" s="12"/>
      <c r="Q52" s="12"/>
      <c r="R52" s="12"/>
      <c r="S52" s="12"/>
    </row>
    <row r="53" customFormat="false" ht="15" hidden="false" customHeight="false" outlineLevel="0" collapsed="false">
      <c r="A53" s="9" t="n">
        <v>2</v>
      </c>
      <c r="B53" s="9" t="n">
        <v>15</v>
      </c>
      <c r="C53" s="9" t="n">
        <v>3</v>
      </c>
      <c r="D53" s="9" t="s">
        <v>62</v>
      </c>
      <c r="E53" s="9" t="n">
        <v>3</v>
      </c>
      <c r="F53" s="9" t="n">
        <v>79.9</v>
      </c>
      <c r="G53" s="9" t="n">
        <v>13.83</v>
      </c>
      <c r="H53" s="9" t="n">
        <v>1</v>
      </c>
      <c r="I53" s="9"/>
      <c r="J53" s="9" t="s">
        <v>56</v>
      </c>
      <c r="K53" s="9"/>
      <c r="L53" s="9" t="n">
        <v>80</v>
      </c>
      <c r="M53" s="10" t="s">
        <v>59</v>
      </c>
      <c r="N53" s="12"/>
      <c r="O53" s="12"/>
      <c r="P53" s="12"/>
      <c r="Q53" s="12"/>
      <c r="R53" s="12"/>
      <c r="S53" s="12"/>
    </row>
    <row r="54" customFormat="false" ht="15" hidden="false" customHeight="false" outlineLevel="0" collapsed="false">
      <c r="A54" s="9" t="n">
        <v>2</v>
      </c>
      <c r="B54" s="9" t="n">
        <v>16</v>
      </c>
      <c r="C54" s="9" t="n">
        <v>4</v>
      </c>
      <c r="D54" s="9" t="s">
        <v>57</v>
      </c>
      <c r="E54" s="9" t="n">
        <v>4</v>
      </c>
      <c r="F54" s="9" t="n">
        <v>107.49</v>
      </c>
      <c r="G54" s="9" t="n">
        <v>11.89</v>
      </c>
      <c r="H54" s="9" t="n">
        <v>1</v>
      </c>
      <c r="I54" s="9"/>
      <c r="J54" s="9" t="s">
        <v>47</v>
      </c>
      <c r="K54" s="9"/>
      <c r="L54" s="9" t="n">
        <v>110</v>
      </c>
      <c r="M54" s="10" t="s">
        <v>59</v>
      </c>
      <c r="N54" s="12"/>
      <c r="O54" s="12"/>
      <c r="P54" s="12"/>
      <c r="Q54" s="12"/>
      <c r="R54" s="12"/>
      <c r="S54" s="12"/>
    </row>
    <row r="55" customFormat="false" ht="15" hidden="false" customHeight="false" outlineLevel="0" collapsed="false">
      <c r="A55" s="9" t="n">
        <v>2</v>
      </c>
      <c r="B55" s="9" t="n">
        <v>17</v>
      </c>
      <c r="C55" s="9" t="n">
        <v>4</v>
      </c>
      <c r="D55" s="9" t="s">
        <v>58</v>
      </c>
      <c r="E55" s="9" t="n">
        <v>3</v>
      </c>
      <c r="F55" s="9" t="n">
        <v>87.66</v>
      </c>
      <c r="G55" s="9" t="n">
        <v>21.75</v>
      </c>
      <c r="H55" s="9" t="n">
        <v>2</v>
      </c>
      <c r="I55" s="9"/>
      <c r="J55" s="9" t="s">
        <v>49</v>
      </c>
      <c r="K55" s="9" t="s">
        <v>59</v>
      </c>
      <c r="L55" s="9" t="n">
        <v>110</v>
      </c>
      <c r="M55" s="10" t="s">
        <v>59</v>
      </c>
      <c r="N55" s="12"/>
      <c r="O55" s="12"/>
      <c r="P55" s="12"/>
      <c r="Q55" s="12"/>
      <c r="R55" s="12"/>
      <c r="S55" s="12"/>
    </row>
    <row r="56" customFormat="false" ht="15" hidden="false" customHeight="false" outlineLevel="0" collapsed="false">
      <c r="A56" s="9" t="n">
        <v>2</v>
      </c>
      <c r="B56" s="9" t="n">
        <v>18</v>
      </c>
      <c r="C56" s="9" t="n">
        <v>4</v>
      </c>
      <c r="D56" s="9" t="s">
        <v>60</v>
      </c>
      <c r="E56" s="9" t="n">
        <v>4</v>
      </c>
      <c r="F56" s="9" t="n">
        <v>109.61</v>
      </c>
      <c r="G56" s="9" t="n">
        <v>12.91</v>
      </c>
      <c r="H56" s="9" t="n">
        <v>1</v>
      </c>
      <c r="I56" s="9"/>
      <c r="J56" s="9" t="s">
        <v>52</v>
      </c>
      <c r="K56" s="9" t="s">
        <v>59</v>
      </c>
      <c r="L56" s="9" t="n">
        <v>110</v>
      </c>
      <c r="M56" s="10" t="s">
        <v>59</v>
      </c>
      <c r="N56" s="12"/>
      <c r="O56" s="12"/>
      <c r="P56" s="12"/>
      <c r="Q56" s="12"/>
      <c r="R56" s="12"/>
      <c r="S56" s="12"/>
    </row>
    <row r="57" customFormat="false" ht="15" hidden="false" customHeight="false" outlineLevel="0" collapsed="false">
      <c r="A57" s="9" t="n">
        <v>2</v>
      </c>
      <c r="B57" s="9" t="n">
        <v>19</v>
      </c>
      <c r="C57" s="9" t="n">
        <v>4</v>
      </c>
      <c r="D57" s="9" t="s">
        <v>61</v>
      </c>
      <c r="E57" s="9" t="n">
        <v>3</v>
      </c>
      <c r="F57" s="9" t="n">
        <v>78.65</v>
      </c>
      <c r="G57" s="9" t="n">
        <v>7.35</v>
      </c>
      <c r="H57" s="9" t="n">
        <v>1</v>
      </c>
      <c r="I57" s="9"/>
      <c r="J57" s="9" t="s">
        <v>54</v>
      </c>
      <c r="K57" s="9"/>
      <c r="L57" s="9" t="n">
        <v>80</v>
      </c>
      <c r="M57" s="10" t="s">
        <v>59</v>
      </c>
      <c r="N57" s="12"/>
      <c r="O57" s="12"/>
      <c r="P57" s="12"/>
      <c r="Q57" s="12"/>
      <c r="R57" s="12"/>
      <c r="S57" s="12"/>
    </row>
    <row r="58" customFormat="false" ht="15" hidden="false" customHeight="false" outlineLevel="0" collapsed="false">
      <c r="A58" s="9" t="n">
        <v>2</v>
      </c>
      <c r="B58" s="9" t="n">
        <v>20</v>
      </c>
      <c r="C58" s="9" t="n">
        <v>4</v>
      </c>
      <c r="D58" s="9" t="s">
        <v>62</v>
      </c>
      <c r="E58" s="9" t="n">
        <v>3</v>
      </c>
      <c r="F58" s="9" t="n">
        <v>79.9</v>
      </c>
      <c r="G58" s="9" t="n">
        <v>13.83</v>
      </c>
      <c r="H58" s="9" t="n">
        <v>1</v>
      </c>
      <c r="I58" s="9"/>
      <c r="J58" s="9" t="s">
        <v>56</v>
      </c>
      <c r="K58" s="9"/>
      <c r="L58" s="9" t="n">
        <v>80</v>
      </c>
      <c r="M58" s="10" t="s">
        <v>59</v>
      </c>
      <c r="N58" s="12"/>
      <c r="O58" s="12"/>
      <c r="P58" s="12"/>
      <c r="Q58" s="12"/>
      <c r="R58" s="12"/>
      <c r="S58" s="12"/>
    </row>
    <row r="59" customFormat="false" ht="15" hidden="false" customHeight="false" outlineLevel="0" collapsed="false">
      <c r="A59" s="9" t="n">
        <v>2</v>
      </c>
      <c r="B59" s="9" t="n">
        <v>21</v>
      </c>
      <c r="C59" s="9" t="n">
        <v>5</v>
      </c>
      <c r="D59" s="9" t="s">
        <v>57</v>
      </c>
      <c r="E59" s="9" t="n">
        <v>4</v>
      </c>
      <c r="F59" s="9" t="n">
        <v>107.41</v>
      </c>
      <c r="G59" s="9" t="n">
        <v>11.89</v>
      </c>
      <c r="H59" s="9" t="n">
        <v>1</v>
      </c>
      <c r="I59" s="9"/>
      <c r="J59" s="9" t="s">
        <v>47</v>
      </c>
      <c r="K59" s="9"/>
      <c r="L59" s="9" t="n">
        <v>110</v>
      </c>
      <c r="M59" s="10" t="s">
        <v>59</v>
      </c>
      <c r="N59" s="12"/>
      <c r="O59" s="12"/>
      <c r="P59" s="12"/>
      <c r="Q59" s="12"/>
      <c r="R59" s="12"/>
      <c r="S59" s="12"/>
    </row>
    <row r="60" customFormat="false" ht="15" hidden="false" customHeight="false" outlineLevel="0" collapsed="false">
      <c r="A60" s="9" t="n">
        <v>2</v>
      </c>
      <c r="B60" s="9" t="n">
        <v>22</v>
      </c>
      <c r="C60" s="9" t="n">
        <v>5</v>
      </c>
      <c r="D60" s="9" t="s">
        <v>58</v>
      </c>
      <c r="E60" s="9" t="n">
        <v>3</v>
      </c>
      <c r="F60" s="9" t="n">
        <v>87.66</v>
      </c>
      <c r="G60" s="9" t="n">
        <v>21.75</v>
      </c>
      <c r="H60" s="9" t="n">
        <v>2</v>
      </c>
      <c r="I60" s="9"/>
      <c r="J60" s="9" t="s">
        <v>49</v>
      </c>
      <c r="K60" s="9" t="s">
        <v>59</v>
      </c>
      <c r="L60" s="9" t="n">
        <v>110</v>
      </c>
      <c r="M60" s="10" t="s">
        <v>59</v>
      </c>
      <c r="N60" s="12"/>
      <c r="O60" s="12"/>
      <c r="P60" s="12"/>
      <c r="Q60" s="12"/>
      <c r="R60" s="12"/>
      <c r="S60" s="12"/>
    </row>
    <row r="61" customFormat="false" ht="15" hidden="false" customHeight="false" outlineLevel="0" collapsed="false">
      <c r="A61" s="9" t="n">
        <v>2</v>
      </c>
      <c r="B61" s="9" t="n">
        <v>23</v>
      </c>
      <c r="C61" s="9" t="n">
        <v>5</v>
      </c>
      <c r="D61" s="9" t="s">
        <v>77</v>
      </c>
      <c r="E61" s="9" t="n">
        <v>5</v>
      </c>
      <c r="F61" s="9" t="n">
        <v>143.33</v>
      </c>
      <c r="G61" s="9" t="n">
        <v>17.3</v>
      </c>
      <c r="H61" s="9" t="n">
        <v>2</v>
      </c>
      <c r="I61" s="9"/>
      <c r="J61" s="9" t="s">
        <v>52</v>
      </c>
      <c r="K61" s="9" t="s">
        <v>59</v>
      </c>
      <c r="L61" s="9"/>
      <c r="M61" s="10"/>
      <c r="N61" s="12"/>
      <c r="O61" s="12"/>
      <c r="P61" s="12"/>
      <c r="Q61" s="12"/>
      <c r="R61" s="12"/>
      <c r="S61" s="12"/>
    </row>
    <row r="62" customFormat="false" ht="15" hidden="false" customHeight="false" outlineLevel="0" collapsed="false">
      <c r="A62" s="9" t="n">
        <v>2</v>
      </c>
      <c r="B62" s="9" t="n">
        <v>24</v>
      </c>
      <c r="C62" s="9" t="n">
        <v>5</v>
      </c>
      <c r="D62" s="9" t="s">
        <v>78</v>
      </c>
      <c r="E62" s="9" t="n">
        <v>5</v>
      </c>
      <c r="F62" s="9" t="n">
        <v>128.81</v>
      </c>
      <c r="G62" s="9" t="n">
        <v>16.05</v>
      </c>
      <c r="H62" s="9" t="n">
        <v>1</v>
      </c>
      <c r="I62" s="9"/>
      <c r="J62" s="9" t="s">
        <v>56</v>
      </c>
      <c r="K62" s="9"/>
      <c r="L62" s="9"/>
      <c r="M62" s="10"/>
      <c r="N62" s="12"/>
      <c r="O62" s="12"/>
      <c r="P62" s="12"/>
      <c r="Q62" s="12"/>
      <c r="R62" s="12"/>
      <c r="S62" s="12"/>
    </row>
    <row r="63" customFormat="false" ht="15" hidden="false" customHeight="false" outlineLevel="0" collapsed="false">
      <c r="A63" s="9" t="n">
        <v>2</v>
      </c>
      <c r="B63" s="9" t="n">
        <v>25</v>
      </c>
      <c r="C63" s="9" t="n">
        <v>6</v>
      </c>
      <c r="D63" s="9" t="s">
        <v>57</v>
      </c>
      <c r="E63" s="9" t="n">
        <v>4</v>
      </c>
      <c r="F63" s="9" t="n">
        <v>107.41</v>
      </c>
      <c r="G63" s="9" t="n">
        <v>11.89</v>
      </c>
      <c r="H63" s="9" t="n">
        <v>1</v>
      </c>
      <c r="I63" s="9"/>
      <c r="J63" s="9" t="s">
        <v>47</v>
      </c>
      <c r="K63" s="9"/>
      <c r="L63" s="9" t="n">
        <v>110</v>
      </c>
      <c r="M63" s="10" t="s">
        <v>59</v>
      </c>
      <c r="N63" s="12"/>
      <c r="O63" s="12"/>
      <c r="P63" s="12"/>
      <c r="Q63" s="12"/>
      <c r="R63" s="12"/>
      <c r="S63" s="12"/>
    </row>
    <row r="64" customFormat="false" ht="15" hidden="false" customHeight="false" outlineLevel="0" collapsed="false">
      <c r="A64" s="9" t="n">
        <v>2</v>
      </c>
      <c r="B64" s="9" t="n">
        <v>26</v>
      </c>
      <c r="C64" s="9" t="n">
        <v>6</v>
      </c>
      <c r="D64" s="9" t="s">
        <v>58</v>
      </c>
      <c r="E64" s="9" t="n">
        <v>3</v>
      </c>
      <c r="F64" s="9" t="n">
        <v>87.66</v>
      </c>
      <c r="G64" s="9" t="n">
        <v>21.75</v>
      </c>
      <c r="H64" s="9" t="n">
        <v>2</v>
      </c>
      <c r="I64" s="9"/>
      <c r="J64" s="9" t="s">
        <v>49</v>
      </c>
      <c r="K64" s="9" t="s">
        <v>59</v>
      </c>
      <c r="L64" s="9" t="n">
        <v>110</v>
      </c>
      <c r="M64" s="10" t="s">
        <v>59</v>
      </c>
      <c r="N64" s="12"/>
      <c r="O64" s="12"/>
      <c r="P64" s="12"/>
      <c r="Q64" s="12"/>
      <c r="R64" s="12"/>
      <c r="S64" s="12"/>
    </row>
    <row r="65" customFormat="false" ht="15" hidden="false" customHeight="false" outlineLevel="0" collapsed="false">
      <c r="A65" s="9" t="n">
        <v>2</v>
      </c>
      <c r="B65" s="9" t="n">
        <v>27</v>
      </c>
      <c r="C65" s="9" t="n">
        <v>6</v>
      </c>
      <c r="D65" s="9" t="s">
        <v>77</v>
      </c>
      <c r="E65" s="9" t="n">
        <v>5</v>
      </c>
      <c r="F65" s="9" t="n">
        <v>143.33</v>
      </c>
      <c r="G65" s="9" t="n">
        <v>17.3</v>
      </c>
      <c r="H65" s="9" t="n">
        <v>2</v>
      </c>
      <c r="I65" s="9"/>
      <c r="J65" s="9" t="s">
        <v>52</v>
      </c>
      <c r="K65" s="9" t="s">
        <v>59</v>
      </c>
      <c r="L65" s="9"/>
      <c r="M65" s="10"/>
      <c r="N65" s="12"/>
      <c r="O65" s="12"/>
      <c r="P65" s="12"/>
      <c r="Q65" s="12"/>
      <c r="R65" s="12"/>
      <c r="S65" s="12"/>
    </row>
    <row r="66" customFormat="false" ht="15" hidden="false" customHeight="false" outlineLevel="0" collapsed="false">
      <c r="A66" s="9" t="n">
        <v>2</v>
      </c>
      <c r="B66" s="9" t="n">
        <v>28</v>
      </c>
      <c r="C66" s="9" t="n">
        <v>6</v>
      </c>
      <c r="D66" s="9" t="s">
        <v>78</v>
      </c>
      <c r="E66" s="9" t="n">
        <v>5</v>
      </c>
      <c r="F66" s="9" t="n">
        <v>128.81</v>
      </c>
      <c r="G66" s="9" t="n">
        <v>16.05</v>
      </c>
      <c r="H66" s="9" t="n">
        <v>1</v>
      </c>
      <c r="I66" s="9"/>
      <c r="J66" s="9" t="s">
        <v>56</v>
      </c>
      <c r="K66" s="9"/>
      <c r="L66" s="9"/>
      <c r="M66" s="10"/>
      <c r="N66" s="12"/>
      <c r="O66" s="12"/>
      <c r="P66" s="12"/>
      <c r="Q66" s="12"/>
      <c r="R66" s="12"/>
      <c r="S66" s="12"/>
    </row>
    <row r="67" customFormat="false" ht="15" hidden="false" customHeight="false" outlineLevel="0" collapsed="false">
      <c r="A67" s="9" t="n">
        <v>2</v>
      </c>
      <c r="B67" s="9" t="n">
        <v>29</v>
      </c>
      <c r="C67" s="9" t="n">
        <v>7</v>
      </c>
      <c r="D67" s="9" t="s">
        <v>79</v>
      </c>
      <c r="E67" s="9" t="n">
        <v>5</v>
      </c>
      <c r="F67" s="9" t="n">
        <v>158.91</v>
      </c>
      <c r="G67" s="9" t="n">
        <v>4.42</v>
      </c>
      <c r="H67" s="9" t="n">
        <v>1</v>
      </c>
      <c r="I67" s="9"/>
      <c r="J67" s="9" t="s">
        <v>75</v>
      </c>
      <c r="K67" s="9"/>
      <c r="L67" s="9"/>
      <c r="M67" s="10"/>
      <c r="N67" s="12"/>
      <c r="O67" s="12"/>
      <c r="P67" s="12"/>
      <c r="Q67" s="12"/>
      <c r="R67" s="12"/>
      <c r="S67" s="12"/>
    </row>
    <row r="68" customFormat="false" ht="15" hidden="false" customHeight="false" outlineLevel="0" collapsed="false">
      <c r="A68" s="9" t="n">
        <v>2</v>
      </c>
      <c r="B68" s="9" t="n">
        <v>30</v>
      </c>
      <c r="C68" s="9" t="n">
        <v>7</v>
      </c>
      <c r="D68" s="9" t="s">
        <v>79</v>
      </c>
      <c r="E68" s="9" t="n">
        <v>4</v>
      </c>
      <c r="F68" s="9" t="n">
        <v>161.03</v>
      </c>
      <c r="G68" s="9" t="n">
        <v>4.42</v>
      </c>
      <c r="H68" s="9" t="n">
        <v>1</v>
      </c>
      <c r="I68" s="9"/>
      <c r="J68" s="9" t="s">
        <v>76</v>
      </c>
      <c r="K68" s="9" t="s">
        <v>59</v>
      </c>
      <c r="L68" s="9"/>
      <c r="M68" s="10"/>
      <c r="N68" s="12"/>
      <c r="O68" s="12"/>
      <c r="P68" s="12"/>
      <c r="Q68" s="12"/>
      <c r="R68" s="12"/>
      <c r="S68" s="12"/>
    </row>
    <row r="69" customFormat="false" ht="15" hidden="false" customHeight="false" outlineLevel="0" collapsed="false">
      <c r="A69" s="9" t="n">
        <v>2</v>
      </c>
      <c r="B69" s="9" t="n">
        <v>31</v>
      </c>
      <c r="C69" s="9" t="n">
        <v>8</v>
      </c>
      <c r="D69" s="9" t="s">
        <v>79</v>
      </c>
      <c r="E69" s="9" t="n">
        <v>5</v>
      </c>
      <c r="F69" s="9" t="n">
        <v>158.9</v>
      </c>
      <c r="G69" s="9" t="n">
        <v>4.42</v>
      </c>
      <c r="H69" s="9" t="n">
        <v>1</v>
      </c>
      <c r="I69" s="9"/>
      <c r="J69" s="9" t="s">
        <v>75</v>
      </c>
      <c r="K69" s="9"/>
      <c r="L69" s="9"/>
      <c r="M69" s="10"/>
      <c r="N69" s="12"/>
      <c r="O69" s="12"/>
      <c r="P69" s="12"/>
      <c r="Q69" s="12"/>
      <c r="R69" s="12"/>
      <c r="S69" s="12"/>
    </row>
    <row r="70" customFormat="false" ht="15" hidden="false" customHeight="false" outlineLevel="0" collapsed="false">
      <c r="A70" s="9" t="n">
        <v>2</v>
      </c>
      <c r="B70" s="9" t="n">
        <v>32</v>
      </c>
      <c r="C70" s="9" t="n">
        <v>8</v>
      </c>
      <c r="D70" s="9" t="s">
        <v>79</v>
      </c>
      <c r="E70" s="9" t="n">
        <v>4</v>
      </c>
      <c r="F70" s="9" t="n">
        <v>161.03</v>
      </c>
      <c r="G70" s="9" t="n">
        <v>4.42</v>
      </c>
      <c r="H70" s="9" t="n">
        <v>1</v>
      </c>
      <c r="I70" s="9"/>
      <c r="J70" s="9" t="s">
        <v>76</v>
      </c>
      <c r="K70" s="9" t="s">
        <v>59</v>
      </c>
      <c r="L70" s="9"/>
      <c r="M70" s="10"/>
      <c r="N70" s="12"/>
      <c r="O70" s="12"/>
      <c r="P70" s="12"/>
      <c r="Q70" s="12"/>
      <c r="R70" s="12"/>
      <c r="S70" s="12"/>
    </row>
    <row r="71" customFormat="false" ht="15" hidden="false" customHeight="false" outlineLevel="0" collapsed="false">
      <c r="A71" s="9" t="n">
        <v>3</v>
      </c>
      <c r="B71" s="9" t="n">
        <v>1</v>
      </c>
      <c r="C71" s="9" t="n">
        <v>0</v>
      </c>
      <c r="D71" s="9" t="s">
        <v>63</v>
      </c>
      <c r="E71" s="9" t="n">
        <v>3</v>
      </c>
      <c r="F71" s="9" t="n">
        <v>77.22</v>
      </c>
      <c r="G71" s="9"/>
      <c r="H71" s="9"/>
      <c r="I71" s="9" t="s">
        <v>59</v>
      </c>
      <c r="J71" s="9" t="s">
        <v>47</v>
      </c>
      <c r="K71" s="9"/>
      <c r="L71" s="9" t="n">
        <v>80</v>
      </c>
      <c r="M71" s="10" t="s">
        <v>59</v>
      </c>
      <c r="N71" s="12"/>
      <c r="O71" s="12"/>
      <c r="P71" s="12"/>
      <c r="Q71" s="12"/>
      <c r="R71" s="12"/>
      <c r="S71" s="12"/>
    </row>
    <row r="72" customFormat="false" ht="15" hidden="false" customHeight="false" outlineLevel="0" collapsed="false">
      <c r="A72" s="9" t="n">
        <v>3</v>
      </c>
      <c r="B72" s="9" t="n">
        <v>2</v>
      </c>
      <c r="C72" s="9" t="n">
        <v>0</v>
      </c>
      <c r="D72" s="9" t="s">
        <v>63</v>
      </c>
      <c r="E72" s="9" t="n">
        <v>3</v>
      </c>
      <c r="F72" s="9" t="n">
        <v>76.89</v>
      </c>
      <c r="G72" s="9"/>
      <c r="H72" s="9"/>
      <c r="I72" s="9" t="s">
        <v>59</v>
      </c>
      <c r="J72" s="9" t="s">
        <v>64</v>
      </c>
      <c r="K72" s="9"/>
      <c r="L72" s="9" t="n">
        <v>80</v>
      </c>
      <c r="M72" s="10" t="s">
        <v>59</v>
      </c>
      <c r="N72" s="12"/>
      <c r="O72" s="12"/>
      <c r="P72" s="12"/>
      <c r="Q72" s="12"/>
      <c r="R72" s="12"/>
      <c r="S72" s="12"/>
    </row>
    <row r="73" customFormat="false" ht="15" hidden="false" customHeight="false" outlineLevel="0" collapsed="false">
      <c r="A73" s="9" t="n">
        <v>3</v>
      </c>
      <c r="B73" s="9" t="n">
        <v>3</v>
      </c>
      <c r="C73" s="9" t="n">
        <v>0</v>
      </c>
      <c r="D73" s="9" t="s">
        <v>63</v>
      </c>
      <c r="E73" s="9" t="n">
        <v>5</v>
      </c>
      <c r="F73" s="9" t="n">
        <v>111.05</v>
      </c>
      <c r="G73" s="9"/>
      <c r="H73" s="9"/>
      <c r="I73" s="9" t="s">
        <v>59</v>
      </c>
      <c r="J73" s="9" t="s">
        <v>56</v>
      </c>
      <c r="K73" s="9"/>
      <c r="L73" s="9"/>
      <c r="M73" s="10"/>
      <c r="N73" s="12"/>
      <c r="O73" s="12"/>
      <c r="P73" s="12"/>
      <c r="Q73" s="12"/>
      <c r="R73" s="12"/>
      <c r="S73" s="12"/>
    </row>
    <row r="74" customFormat="false" ht="15" hidden="false" customHeight="false" outlineLevel="0" collapsed="false">
      <c r="A74" s="9" t="n">
        <v>3</v>
      </c>
      <c r="B74" s="9" t="n">
        <v>4</v>
      </c>
      <c r="C74" s="9" t="n">
        <v>1</v>
      </c>
      <c r="D74" s="9" t="s">
        <v>65</v>
      </c>
      <c r="E74" s="9" t="n">
        <v>3</v>
      </c>
      <c r="F74" s="9" t="n">
        <v>79.97</v>
      </c>
      <c r="G74" s="9" t="n">
        <v>13.5</v>
      </c>
      <c r="H74" s="9" t="n">
        <v>1</v>
      </c>
      <c r="I74" s="9"/>
      <c r="J74" s="9" t="s">
        <v>47</v>
      </c>
      <c r="K74" s="9"/>
      <c r="L74" s="9" t="n">
        <v>80</v>
      </c>
      <c r="M74" s="10" t="s">
        <v>59</v>
      </c>
      <c r="N74" s="12"/>
      <c r="O74" s="12"/>
      <c r="P74" s="12"/>
      <c r="Q74" s="12"/>
      <c r="R74" s="12"/>
      <c r="S74" s="12"/>
    </row>
    <row r="75" customFormat="false" ht="15" hidden="false" customHeight="false" outlineLevel="0" collapsed="false">
      <c r="A75" s="9" t="n">
        <v>3</v>
      </c>
      <c r="B75" s="9" t="n">
        <v>5</v>
      </c>
      <c r="C75" s="9" t="n">
        <v>1</v>
      </c>
      <c r="D75" s="9" t="s">
        <v>66</v>
      </c>
      <c r="E75" s="9" t="n">
        <v>4</v>
      </c>
      <c r="F75" s="9" t="n">
        <v>107.43</v>
      </c>
      <c r="G75" s="9" t="n">
        <v>14</v>
      </c>
      <c r="H75" s="9" t="n">
        <v>1</v>
      </c>
      <c r="I75" s="9"/>
      <c r="J75" s="9" t="s">
        <v>49</v>
      </c>
      <c r="K75" s="9" t="s">
        <v>59</v>
      </c>
      <c r="L75" s="9" t="n">
        <v>110</v>
      </c>
      <c r="M75" s="10" t="s">
        <v>59</v>
      </c>
      <c r="N75" s="12"/>
      <c r="O75" s="12"/>
      <c r="P75" s="12"/>
      <c r="Q75" s="12"/>
      <c r="R75" s="12"/>
      <c r="S75" s="12"/>
    </row>
    <row r="76" customFormat="false" ht="15" hidden="false" customHeight="false" outlineLevel="0" collapsed="false">
      <c r="A76" s="9" t="n">
        <v>3</v>
      </c>
      <c r="B76" s="9" t="n">
        <v>6</v>
      </c>
      <c r="C76" s="9" t="n">
        <v>1</v>
      </c>
      <c r="D76" s="9" t="s">
        <v>67</v>
      </c>
      <c r="E76" s="9" t="n">
        <v>4</v>
      </c>
      <c r="F76" s="9" t="n">
        <v>109.01</v>
      </c>
      <c r="G76" s="9" t="n">
        <v>14</v>
      </c>
      <c r="H76" s="9" t="n">
        <v>1</v>
      </c>
      <c r="I76" s="9"/>
      <c r="J76" s="9" t="s">
        <v>52</v>
      </c>
      <c r="K76" s="9" t="s">
        <v>59</v>
      </c>
      <c r="L76" s="9" t="n">
        <v>110</v>
      </c>
      <c r="M76" s="10" t="s">
        <v>59</v>
      </c>
      <c r="N76" s="12"/>
      <c r="O76" s="12"/>
      <c r="P76" s="12"/>
      <c r="Q76" s="12"/>
      <c r="R76" s="12"/>
      <c r="S76" s="12"/>
    </row>
    <row r="77" customFormat="false" ht="15" hidden="false" customHeight="false" outlineLevel="0" collapsed="false">
      <c r="A77" s="9" t="n">
        <v>3</v>
      </c>
      <c r="B77" s="9" t="n">
        <v>7</v>
      </c>
      <c r="C77" s="9" t="n">
        <v>1</v>
      </c>
      <c r="D77" s="9" t="s">
        <v>68</v>
      </c>
      <c r="E77" s="9" t="n">
        <v>4</v>
      </c>
      <c r="F77" s="9" t="n">
        <v>109.52</v>
      </c>
      <c r="G77" s="9" t="n">
        <v>12.91</v>
      </c>
      <c r="H77" s="9" t="n">
        <v>1</v>
      </c>
      <c r="I77" s="9"/>
      <c r="J77" s="9" t="s">
        <v>56</v>
      </c>
      <c r="K77" s="9"/>
      <c r="L77" s="9" t="n">
        <v>110</v>
      </c>
      <c r="M77" s="10" t="s">
        <v>59</v>
      </c>
      <c r="N77" s="12"/>
      <c r="O77" s="12"/>
      <c r="P77" s="12"/>
      <c r="Q77" s="12"/>
      <c r="R77" s="12"/>
      <c r="S77" s="12"/>
    </row>
    <row r="78" customFormat="false" ht="15" hidden="false" customHeight="false" outlineLevel="0" collapsed="false">
      <c r="A78" s="9" t="n">
        <v>3</v>
      </c>
      <c r="B78" s="9" t="n">
        <v>8</v>
      </c>
      <c r="C78" s="9" t="n">
        <v>1</v>
      </c>
      <c r="D78" s="9" t="s">
        <v>69</v>
      </c>
      <c r="E78" s="9" t="n">
        <v>3</v>
      </c>
      <c r="F78" s="9" t="n">
        <v>78.68</v>
      </c>
      <c r="G78" s="9" t="n">
        <v>7.37</v>
      </c>
      <c r="H78" s="9" t="n">
        <v>1</v>
      </c>
      <c r="I78" s="9"/>
      <c r="J78" s="9" t="s">
        <v>64</v>
      </c>
      <c r="K78" s="9"/>
      <c r="L78" s="9" t="n">
        <v>80</v>
      </c>
      <c r="M78" s="10" t="s">
        <v>59</v>
      </c>
      <c r="N78" s="12"/>
      <c r="O78" s="12"/>
      <c r="P78" s="12"/>
      <c r="Q78" s="12"/>
      <c r="R78" s="12"/>
      <c r="S78" s="12"/>
    </row>
    <row r="79" customFormat="false" ht="15" hidden="false" customHeight="false" outlineLevel="0" collapsed="false">
      <c r="A79" s="9" t="n">
        <v>3</v>
      </c>
      <c r="B79" s="9" t="n">
        <v>9</v>
      </c>
      <c r="C79" s="9" t="n">
        <v>2</v>
      </c>
      <c r="D79" s="9" t="s">
        <v>65</v>
      </c>
      <c r="E79" s="9" t="n">
        <v>3</v>
      </c>
      <c r="F79" s="9" t="n">
        <v>79.97</v>
      </c>
      <c r="G79" s="9" t="n">
        <v>13.5</v>
      </c>
      <c r="H79" s="9" t="n">
        <v>1</v>
      </c>
      <c r="I79" s="9"/>
      <c r="J79" s="9" t="s">
        <v>47</v>
      </c>
      <c r="K79" s="9"/>
      <c r="L79" s="9" t="n">
        <v>80</v>
      </c>
      <c r="M79" s="10" t="s">
        <v>59</v>
      </c>
      <c r="N79" s="12"/>
      <c r="O79" s="12"/>
      <c r="P79" s="12"/>
      <c r="Q79" s="12"/>
      <c r="R79" s="12"/>
      <c r="S79" s="12"/>
    </row>
    <row r="80" customFormat="false" ht="15" hidden="false" customHeight="false" outlineLevel="0" collapsed="false">
      <c r="A80" s="9" t="n">
        <v>3</v>
      </c>
      <c r="B80" s="9" t="n">
        <v>10</v>
      </c>
      <c r="C80" s="9" t="n">
        <v>2</v>
      </c>
      <c r="D80" s="9" t="s">
        <v>66</v>
      </c>
      <c r="E80" s="9" t="n">
        <v>4</v>
      </c>
      <c r="F80" s="9" t="n">
        <v>107.43</v>
      </c>
      <c r="G80" s="9" t="n">
        <v>14</v>
      </c>
      <c r="H80" s="9" t="n">
        <v>1</v>
      </c>
      <c r="I80" s="9"/>
      <c r="J80" s="9" t="s">
        <v>49</v>
      </c>
      <c r="K80" s="9" t="s">
        <v>59</v>
      </c>
      <c r="L80" s="9" t="n">
        <v>110</v>
      </c>
      <c r="M80" s="10" t="s">
        <v>59</v>
      </c>
      <c r="N80" s="12"/>
      <c r="O80" s="12"/>
      <c r="P80" s="12"/>
      <c r="Q80" s="12"/>
      <c r="R80" s="12"/>
      <c r="S80" s="12"/>
    </row>
    <row r="81" customFormat="false" ht="15" hidden="false" customHeight="false" outlineLevel="0" collapsed="false">
      <c r="A81" s="9" t="n">
        <v>3</v>
      </c>
      <c r="B81" s="9" t="n">
        <v>11</v>
      </c>
      <c r="C81" s="9" t="n">
        <v>2</v>
      </c>
      <c r="D81" s="9" t="s">
        <v>67</v>
      </c>
      <c r="E81" s="9" t="n">
        <v>4</v>
      </c>
      <c r="F81" s="9" t="n">
        <v>109.01</v>
      </c>
      <c r="G81" s="9" t="n">
        <v>14</v>
      </c>
      <c r="H81" s="9" t="n">
        <v>1</v>
      </c>
      <c r="I81" s="9"/>
      <c r="J81" s="9" t="s">
        <v>52</v>
      </c>
      <c r="K81" s="9" t="s">
        <v>59</v>
      </c>
      <c r="L81" s="9" t="n">
        <v>110</v>
      </c>
      <c r="M81" s="10" t="s">
        <v>59</v>
      </c>
      <c r="N81" s="12"/>
      <c r="O81" s="12"/>
      <c r="P81" s="12"/>
      <c r="Q81" s="12"/>
      <c r="R81" s="12"/>
      <c r="S81" s="12"/>
    </row>
    <row r="82" customFormat="false" ht="15" hidden="false" customHeight="false" outlineLevel="0" collapsed="false">
      <c r="A82" s="9" t="n">
        <v>3</v>
      </c>
      <c r="B82" s="9" t="n">
        <v>12</v>
      </c>
      <c r="C82" s="9" t="n">
        <v>2</v>
      </c>
      <c r="D82" s="9" t="s">
        <v>68</v>
      </c>
      <c r="E82" s="9" t="n">
        <v>4</v>
      </c>
      <c r="F82" s="9" t="n">
        <v>109.52</v>
      </c>
      <c r="G82" s="9" t="n">
        <v>12.91</v>
      </c>
      <c r="H82" s="9" t="n">
        <v>1</v>
      </c>
      <c r="I82" s="9"/>
      <c r="J82" s="9" t="s">
        <v>56</v>
      </c>
      <c r="K82" s="9"/>
      <c r="L82" s="9" t="n">
        <v>110</v>
      </c>
      <c r="M82" s="10" t="s">
        <v>59</v>
      </c>
      <c r="N82" s="12"/>
      <c r="O82" s="12"/>
      <c r="P82" s="12"/>
      <c r="Q82" s="12"/>
      <c r="R82" s="12"/>
      <c r="S82" s="12"/>
    </row>
    <row r="83" customFormat="false" ht="15" hidden="false" customHeight="false" outlineLevel="0" collapsed="false">
      <c r="A83" s="9" t="n">
        <v>3</v>
      </c>
      <c r="B83" s="9" t="n">
        <v>13</v>
      </c>
      <c r="C83" s="9" t="n">
        <v>2</v>
      </c>
      <c r="D83" s="9" t="s">
        <v>69</v>
      </c>
      <c r="E83" s="9" t="n">
        <v>3</v>
      </c>
      <c r="F83" s="9" t="n">
        <v>78.68</v>
      </c>
      <c r="G83" s="9" t="n">
        <v>7.37</v>
      </c>
      <c r="H83" s="9" t="n">
        <v>1</v>
      </c>
      <c r="I83" s="9"/>
      <c r="J83" s="9" t="s">
        <v>64</v>
      </c>
      <c r="K83" s="9"/>
      <c r="L83" s="9" t="n">
        <v>80</v>
      </c>
      <c r="M83" s="10" t="s">
        <v>59</v>
      </c>
      <c r="N83" s="12"/>
      <c r="O83" s="12"/>
      <c r="P83" s="12"/>
      <c r="Q83" s="12"/>
      <c r="R83" s="12"/>
      <c r="S83" s="12"/>
    </row>
    <row r="84" customFormat="false" ht="15" hidden="false" customHeight="false" outlineLevel="0" collapsed="false">
      <c r="A84" s="9" t="n">
        <v>3</v>
      </c>
      <c r="B84" s="9" t="n">
        <v>14</v>
      </c>
      <c r="C84" s="9" t="n">
        <v>3</v>
      </c>
      <c r="D84" s="9" t="s">
        <v>65</v>
      </c>
      <c r="E84" s="9" t="n">
        <v>3</v>
      </c>
      <c r="F84" s="9" t="n">
        <v>79.97</v>
      </c>
      <c r="G84" s="9" t="n">
        <v>13.5</v>
      </c>
      <c r="H84" s="9" t="n">
        <v>1</v>
      </c>
      <c r="I84" s="9"/>
      <c r="J84" s="9" t="s">
        <v>47</v>
      </c>
      <c r="K84" s="9"/>
      <c r="L84" s="9" t="n">
        <v>80</v>
      </c>
      <c r="M84" s="10" t="s">
        <v>59</v>
      </c>
      <c r="N84" s="12"/>
      <c r="O84" s="12"/>
      <c r="P84" s="12"/>
      <c r="Q84" s="12"/>
      <c r="R84" s="12"/>
      <c r="S84" s="12"/>
    </row>
    <row r="85" customFormat="false" ht="15" hidden="false" customHeight="false" outlineLevel="0" collapsed="false">
      <c r="A85" s="9" t="n">
        <v>3</v>
      </c>
      <c r="B85" s="9" t="n">
        <v>15</v>
      </c>
      <c r="C85" s="9" t="n">
        <v>3</v>
      </c>
      <c r="D85" s="9" t="s">
        <v>66</v>
      </c>
      <c r="E85" s="9" t="n">
        <v>4</v>
      </c>
      <c r="F85" s="9" t="n">
        <v>107.43</v>
      </c>
      <c r="G85" s="9" t="n">
        <v>14</v>
      </c>
      <c r="H85" s="9" t="n">
        <v>1</v>
      </c>
      <c r="I85" s="9"/>
      <c r="J85" s="9" t="s">
        <v>49</v>
      </c>
      <c r="K85" s="9" t="s">
        <v>59</v>
      </c>
      <c r="L85" s="9" t="n">
        <v>110</v>
      </c>
      <c r="M85" s="10" t="s">
        <v>59</v>
      </c>
      <c r="N85" s="12"/>
      <c r="O85" s="12"/>
      <c r="P85" s="12"/>
      <c r="Q85" s="12"/>
      <c r="R85" s="12"/>
      <c r="S85" s="12"/>
    </row>
    <row r="86" customFormat="false" ht="15" hidden="false" customHeight="false" outlineLevel="0" collapsed="false">
      <c r="A86" s="9" t="n">
        <v>3</v>
      </c>
      <c r="B86" s="9" t="n">
        <v>16</v>
      </c>
      <c r="C86" s="9" t="n">
        <v>3</v>
      </c>
      <c r="D86" s="9" t="s">
        <v>67</v>
      </c>
      <c r="E86" s="9" t="n">
        <v>4</v>
      </c>
      <c r="F86" s="9" t="n">
        <v>109.01</v>
      </c>
      <c r="G86" s="9" t="n">
        <v>14</v>
      </c>
      <c r="H86" s="9" t="n">
        <v>1</v>
      </c>
      <c r="I86" s="9"/>
      <c r="J86" s="9" t="s">
        <v>52</v>
      </c>
      <c r="K86" s="9" t="s">
        <v>59</v>
      </c>
      <c r="L86" s="9" t="n">
        <v>110</v>
      </c>
      <c r="M86" s="10" t="s">
        <v>59</v>
      </c>
      <c r="N86" s="12"/>
      <c r="O86" s="12"/>
      <c r="P86" s="12"/>
      <c r="Q86" s="12"/>
      <c r="R86" s="12"/>
      <c r="S86" s="12"/>
    </row>
    <row r="87" customFormat="false" ht="15" hidden="false" customHeight="false" outlineLevel="0" collapsed="false">
      <c r="A87" s="9" t="n">
        <v>3</v>
      </c>
      <c r="B87" s="9" t="n">
        <v>17</v>
      </c>
      <c r="C87" s="9" t="n">
        <v>3</v>
      </c>
      <c r="D87" s="9" t="s">
        <v>68</v>
      </c>
      <c r="E87" s="9" t="n">
        <v>4</v>
      </c>
      <c r="F87" s="9" t="n">
        <v>109.52</v>
      </c>
      <c r="G87" s="9" t="n">
        <v>12.91</v>
      </c>
      <c r="H87" s="9" t="n">
        <v>1</v>
      </c>
      <c r="I87" s="9"/>
      <c r="J87" s="9" t="s">
        <v>56</v>
      </c>
      <c r="K87" s="9"/>
      <c r="L87" s="9" t="n">
        <v>110</v>
      </c>
      <c r="M87" s="10" t="s">
        <v>59</v>
      </c>
      <c r="N87" s="12"/>
      <c r="O87" s="12"/>
      <c r="P87" s="12"/>
      <c r="Q87" s="12"/>
      <c r="R87" s="12"/>
      <c r="S87" s="12"/>
    </row>
    <row r="88" customFormat="false" ht="15" hidden="false" customHeight="false" outlineLevel="0" collapsed="false">
      <c r="A88" s="9" t="n">
        <v>3</v>
      </c>
      <c r="B88" s="9" t="n">
        <v>18</v>
      </c>
      <c r="C88" s="9" t="n">
        <v>3</v>
      </c>
      <c r="D88" s="9" t="s">
        <v>69</v>
      </c>
      <c r="E88" s="9" t="n">
        <v>3</v>
      </c>
      <c r="F88" s="9" t="n">
        <v>78.68</v>
      </c>
      <c r="G88" s="9" t="n">
        <v>7.37</v>
      </c>
      <c r="H88" s="9" t="n">
        <v>1</v>
      </c>
      <c r="I88" s="9"/>
      <c r="J88" s="9" t="s">
        <v>64</v>
      </c>
      <c r="K88" s="9"/>
      <c r="L88" s="9" t="n">
        <v>80</v>
      </c>
      <c r="M88" s="10" t="s">
        <v>59</v>
      </c>
      <c r="N88" s="12"/>
      <c r="O88" s="12"/>
      <c r="P88" s="12"/>
      <c r="Q88" s="12"/>
      <c r="R88" s="12"/>
      <c r="S88" s="12"/>
    </row>
    <row r="89" customFormat="false" ht="15" hidden="false" customHeight="false" outlineLevel="0" collapsed="false">
      <c r="A89" s="9" t="n">
        <v>3</v>
      </c>
      <c r="B89" s="9" t="n">
        <v>19</v>
      </c>
      <c r="C89" s="9" t="n">
        <v>4</v>
      </c>
      <c r="D89" s="9" t="s">
        <v>65</v>
      </c>
      <c r="E89" s="9" t="n">
        <v>3</v>
      </c>
      <c r="F89" s="9" t="n">
        <v>79.97</v>
      </c>
      <c r="G89" s="9" t="n">
        <v>13.5</v>
      </c>
      <c r="H89" s="9" t="n">
        <v>1</v>
      </c>
      <c r="I89" s="9"/>
      <c r="J89" s="9" t="s">
        <v>47</v>
      </c>
      <c r="K89" s="9"/>
      <c r="L89" s="9" t="n">
        <v>80</v>
      </c>
      <c r="M89" s="10" t="s">
        <v>59</v>
      </c>
      <c r="N89" s="12"/>
      <c r="O89" s="12"/>
      <c r="P89" s="12"/>
      <c r="Q89" s="12"/>
      <c r="R89" s="12"/>
      <c r="S89" s="12"/>
    </row>
    <row r="90" customFormat="false" ht="15" hidden="false" customHeight="false" outlineLevel="0" collapsed="false">
      <c r="A90" s="9" t="n">
        <v>3</v>
      </c>
      <c r="B90" s="9" t="n">
        <v>20</v>
      </c>
      <c r="C90" s="9" t="n">
        <v>4</v>
      </c>
      <c r="D90" s="9" t="s">
        <v>66</v>
      </c>
      <c r="E90" s="9" t="n">
        <v>4</v>
      </c>
      <c r="F90" s="9" t="n">
        <v>107.43</v>
      </c>
      <c r="G90" s="9" t="n">
        <v>14</v>
      </c>
      <c r="H90" s="9" t="n">
        <v>1</v>
      </c>
      <c r="I90" s="9"/>
      <c r="J90" s="9" t="s">
        <v>49</v>
      </c>
      <c r="K90" s="9" t="s">
        <v>59</v>
      </c>
      <c r="L90" s="9" t="n">
        <v>110</v>
      </c>
      <c r="M90" s="10" t="s">
        <v>59</v>
      </c>
      <c r="N90" s="12"/>
      <c r="O90" s="12"/>
      <c r="P90" s="12"/>
      <c r="Q90" s="12"/>
      <c r="R90" s="12"/>
      <c r="S90" s="12"/>
    </row>
    <row r="91" customFormat="false" ht="15" hidden="false" customHeight="false" outlineLevel="0" collapsed="false">
      <c r="A91" s="9" t="n">
        <v>3</v>
      </c>
      <c r="B91" s="9" t="n">
        <v>21</v>
      </c>
      <c r="C91" s="9" t="n">
        <v>4</v>
      </c>
      <c r="D91" s="9" t="s">
        <v>67</v>
      </c>
      <c r="E91" s="9" t="n">
        <v>4</v>
      </c>
      <c r="F91" s="9" t="n">
        <v>109.01</v>
      </c>
      <c r="G91" s="9" t="n">
        <v>14</v>
      </c>
      <c r="H91" s="9" t="n">
        <v>1</v>
      </c>
      <c r="I91" s="9"/>
      <c r="J91" s="9" t="s">
        <v>52</v>
      </c>
      <c r="K91" s="9" t="s">
        <v>59</v>
      </c>
      <c r="L91" s="9" t="n">
        <v>110</v>
      </c>
      <c r="M91" s="10" t="s">
        <v>59</v>
      </c>
      <c r="N91" s="12"/>
      <c r="O91" s="12"/>
      <c r="P91" s="12"/>
      <c r="Q91" s="12"/>
      <c r="R91" s="12"/>
      <c r="S91" s="12"/>
    </row>
    <row r="92" customFormat="false" ht="15" hidden="false" customHeight="false" outlineLevel="0" collapsed="false">
      <c r="A92" s="9" t="n">
        <v>3</v>
      </c>
      <c r="B92" s="9" t="n">
        <v>22</v>
      </c>
      <c r="C92" s="9" t="n">
        <v>4</v>
      </c>
      <c r="D92" s="9" t="s">
        <v>68</v>
      </c>
      <c r="E92" s="9" t="n">
        <v>4</v>
      </c>
      <c r="F92" s="9" t="n">
        <v>109.52</v>
      </c>
      <c r="G92" s="9" t="n">
        <v>12.91</v>
      </c>
      <c r="H92" s="9" t="n">
        <v>1</v>
      </c>
      <c r="I92" s="9"/>
      <c r="J92" s="9" t="s">
        <v>56</v>
      </c>
      <c r="K92" s="9"/>
      <c r="L92" s="9" t="n">
        <v>110</v>
      </c>
      <c r="M92" s="10" t="s">
        <v>59</v>
      </c>
      <c r="N92" s="12"/>
      <c r="O92" s="12"/>
      <c r="P92" s="12"/>
      <c r="Q92" s="12"/>
      <c r="R92" s="12"/>
      <c r="S92" s="12"/>
    </row>
    <row r="93" customFormat="false" ht="15" hidden="false" customHeight="false" outlineLevel="0" collapsed="false">
      <c r="A93" s="9" t="n">
        <v>3</v>
      </c>
      <c r="B93" s="9" t="n">
        <v>23</v>
      </c>
      <c r="C93" s="9" t="n">
        <v>4</v>
      </c>
      <c r="D93" s="9" t="s">
        <v>69</v>
      </c>
      <c r="E93" s="9" t="n">
        <v>3</v>
      </c>
      <c r="F93" s="9" t="n">
        <v>78.68</v>
      </c>
      <c r="G93" s="9" t="n">
        <v>7.37</v>
      </c>
      <c r="H93" s="9" t="n">
        <v>1</v>
      </c>
      <c r="I93" s="9"/>
      <c r="J93" s="9" t="s">
        <v>64</v>
      </c>
      <c r="K93" s="9"/>
      <c r="L93" s="9" t="n">
        <v>80</v>
      </c>
      <c r="M93" s="10" t="s">
        <v>59</v>
      </c>
      <c r="N93" s="12"/>
      <c r="O93" s="12"/>
      <c r="P93" s="12"/>
      <c r="Q93" s="12"/>
      <c r="R93" s="12"/>
      <c r="S93" s="12"/>
    </row>
    <row r="94" customFormat="false" ht="15" hidden="false" customHeight="false" outlineLevel="0" collapsed="false">
      <c r="A94" s="9" t="n">
        <v>3</v>
      </c>
      <c r="B94" s="9" t="n">
        <v>24</v>
      </c>
      <c r="C94" s="9" t="n">
        <v>5</v>
      </c>
      <c r="D94" s="9" t="s">
        <v>65</v>
      </c>
      <c r="E94" s="9" t="n">
        <v>3</v>
      </c>
      <c r="F94" s="9" t="n">
        <v>79.97</v>
      </c>
      <c r="G94" s="9" t="n">
        <v>13.5</v>
      </c>
      <c r="H94" s="9" t="n">
        <v>1</v>
      </c>
      <c r="I94" s="9"/>
      <c r="J94" s="9" t="s">
        <v>47</v>
      </c>
      <c r="K94" s="9"/>
      <c r="L94" s="9" t="n">
        <v>80</v>
      </c>
      <c r="M94" s="10" t="s">
        <v>59</v>
      </c>
      <c r="N94" s="12"/>
      <c r="O94" s="12"/>
      <c r="P94" s="12"/>
      <c r="Q94" s="12"/>
      <c r="R94" s="12"/>
      <c r="S94" s="12"/>
    </row>
    <row r="95" customFormat="false" ht="15" hidden="false" customHeight="false" outlineLevel="0" collapsed="false">
      <c r="A95" s="9" t="n">
        <v>3</v>
      </c>
      <c r="B95" s="9" t="n">
        <v>25</v>
      </c>
      <c r="C95" s="9" t="n">
        <v>5</v>
      </c>
      <c r="D95" s="9" t="s">
        <v>66</v>
      </c>
      <c r="E95" s="9" t="n">
        <v>4</v>
      </c>
      <c r="F95" s="9" t="n">
        <v>107.43</v>
      </c>
      <c r="G95" s="9" t="n">
        <v>14</v>
      </c>
      <c r="H95" s="9" t="n">
        <v>1</v>
      </c>
      <c r="I95" s="9"/>
      <c r="J95" s="9" t="s">
        <v>49</v>
      </c>
      <c r="K95" s="9" t="s">
        <v>59</v>
      </c>
      <c r="L95" s="9" t="n">
        <v>110</v>
      </c>
      <c r="M95" s="10" t="s">
        <v>59</v>
      </c>
      <c r="N95" s="12"/>
      <c r="O95" s="12"/>
      <c r="P95" s="12"/>
      <c r="Q95" s="12"/>
      <c r="R95" s="12"/>
      <c r="S95" s="12"/>
    </row>
    <row r="96" customFormat="false" ht="15" hidden="false" customHeight="false" outlineLevel="0" collapsed="false">
      <c r="A96" s="9" t="n">
        <v>3</v>
      </c>
      <c r="B96" s="9" t="n">
        <v>26</v>
      </c>
      <c r="C96" s="9" t="n">
        <v>5</v>
      </c>
      <c r="D96" s="9" t="s">
        <v>67</v>
      </c>
      <c r="E96" s="9" t="n">
        <v>4</v>
      </c>
      <c r="F96" s="9" t="n">
        <v>109.01</v>
      </c>
      <c r="G96" s="9" t="n">
        <v>14</v>
      </c>
      <c r="H96" s="9" t="n">
        <v>1</v>
      </c>
      <c r="I96" s="9"/>
      <c r="J96" s="9" t="s">
        <v>52</v>
      </c>
      <c r="K96" s="9" t="s">
        <v>59</v>
      </c>
      <c r="L96" s="9" t="n">
        <v>110</v>
      </c>
      <c r="M96" s="10" t="s">
        <v>59</v>
      </c>
      <c r="N96" s="12"/>
      <c r="O96" s="12"/>
      <c r="P96" s="12"/>
      <c r="Q96" s="12"/>
      <c r="R96" s="12"/>
      <c r="S96" s="12"/>
    </row>
    <row r="97" customFormat="false" ht="15" hidden="false" customHeight="false" outlineLevel="0" collapsed="false">
      <c r="A97" s="9" t="n">
        <v>3</v>
      </c>
      <c r="B97" s="9" t="n">
        <v>27</v>
      </c>
      <c r="C97" s="9" t="n">
        <v>5</v>
      </c>
      <c r="D97" s="9" t="s">
        <v>68</v>
      </c>
      <c r="E97" s="9" t="n">
        <v>4</v>
      </c>
      <c r="F97" s="9" t="n">
        <v>109.52</v>
      </c>
      <c r="G97" s="9" t="n">
        <v>12.91</v>
      </c>
      <c r="H97" s="9" t="n">
        <v>1</v>
      </c>
      <c r="I97" s="9"/>
      <c r="J97" s="9" t="s">
        <v>56</v>
      </c>
      <c r="K97" s="9"/>
      <c r="L97" s="9" t="n">
        <v>110</v>
      </c>
      <c r="M97" s="10" t="s">
        <v>59</v>
      </c>
      <c r="N97" s="12"/>
      <c r="O97" s="12"/>
      <c r="P97" s="12"/>
      <c r="Q97" s="12"/>
      <c r="R97" s="12"/>
      <c r="S97" s="12"/>
    </row>
    <row r="98" customFormat="false" ht="15" hidden="false" customHeight="false" outlineLevel="0" collapsed="false">
      <c r="A98" s="9" t="n">
        <v>3</v>
      </c>
      <c r="B98" s="9" t="n">
        <v>28</v>
      </c>
      <c r="C98" s="9" t="n">
        <v>5</v>
      </c>
      <c r="D98" s="9" t="s">
        <v>69</v>
      </c>
      <c r="E98" s="9" t="n">
        <v>3</v>
      </c>
      <c r="F98" s="9" t="n">
        <v>78.68</v>
      </c>
      <c r="G98" s="9" t="n">
        <v>7.37</v>
      </c>
      <c r="H98" s="9" t="n">
        <v>1</v>
      </c>
      <c r="I98" s="9"/>
      <c r="J98" s="9" t="s">
        <v>64</v>
      </c>
      <c r="K98" s="9"/>
      <c r="L98" s="9" t="n">
        <v>80</v>
      </c>
      <c r="M98" s="10" t="s">
        <v>59</v>
      </c>
      <c r="N98" s="12"/>
      <c r="O98" s="12"/>
      <c r="P98" s="12"/>
      <c r="Q98" s="12"/>
      <c r="R98" s="12"/>
      <c r="S98" s="12"/>
    </row>
    <row r="99" customFormat="false" ht="15" hidden="false" customHeight="false" outlineLevel="0" collapsed="false">
      <c r="A99" s="9" t="n">
        <v>3</v>
      </c>
      <c r="B99" s="9" t="n">
        <v>29</v>
      </c>
      <c r="C99" s="9" t="n">
        <v>6</v>
      </c>
      <c r="D99" s="9" t="s">
        <v>80</v>
      </c>
      <c r="E99" s="9" t="n">
        <v>5</v>
      </c>
      <c r="F99" s="9" t="n">
        <v>127.67</v>
      </c>
      <c r="G99" s="9" t="n">
        <v>17.22</v>
      </c>
      <c r="H99" s="9" t="n">
        <v>1</v>
      </c>
      <c r="I99" s="9"/>
      <c r="J99" s="9" t="s">
        <v>49</v>
      </c>
      <c r="K99" s="9" t="s">
        <v>59</v>
      </c>
      <c r="L99" s="9"/>
      <c r="M99" s="10"/>
      <c r="N99" s="12"/>
      <c r="O99" s="12"/>
      <c r="P99" s="12"/>
      <c r="Q99" s="12"/>
      <c r="R99" s="12"/>
      <c r="S99" s="12"/>
    </row>
    <row r="100" customFormat="false" ht="15" hidden="false" customHeight="false" outlineLevel="0" collapsed="false">
      <c r="A100" s="9" t="n">
        <v>3</v>
      </c>
      <c r="B100" s="9" t="n">
        <v>30</v>
      </c>
      <c r="C100" s="9" t="n">
        <v>6</v>
      </c>
      <c r="D100" s="9" t="s">
        <v>66</v>
      </c>
      <c r="E100" s="9" t="n">
        <v>4</v>
      </c>
      <c r="F100" s="9" t="n">
        <v>107.43</v>
      </c>
      <c r="G100" s="9" t="n">
        <v>14</v>
      </c>
      <c r="H100" s="9" t="n">
        <v>1</v>
      </c>
      <c r="I100" s="9"/>
      <c r="J100" s="9" t="s">
        <v>49</v>
      </c>
      <c r="K100" s="9" t="s">
        <v>59</v>
      </c>
      <c r="L100" s="9" t="n">
        <v>110</v>
      </c>
      <c r="M100" s="10" t="s">
        <v>59</v>
      </c>
      <c r="N100" s="12"/>
      <c r="O100" s="12"/>
      <c r="P100" s="12"/>
      <c r="Q100" s="12"/>
      <c r="R100" s="12"/>
      <c r="S100" s="12"/>
    </row>
    <row r="101" customFormat="false" ht="15" hidden="false" customHeight="false" outlineLevel="0" collapsed="false">
      <c r="A101" s="9" t="n">
        <v>3</v>
      </c>
      <c r="B101" s="9" t="n">
        <v>31</v>
      </c>
      <c r="C101" s="9" t="n">
        <v>6</v>
      </c>
      <c r="D101" s="9" t="s">
        <v>67</v>
      </c>
      <c r="E101" s="9" t="n">
        <v>4</v>
      </c>
      <c r="F101" s="9" t="n">
        <v>109.01</v>
      </c>
      <c r="G101" s="9" t="n">
        <v>14</v>
      </c>
      <c r="H101" s="9" t="n">
        <v>1</v>
      </c>
      <c r="I101" s="9"/>
      <c r="J101" s="9" t="s">
        <v>52</v>
      </c>
      <c r="K101" s="9" t="s">
        <v>59</v>
      </c>
      <c r="L101" s="9" t="n">
        <v>110</v>
      </c>
      <c r="M101" s="10" t="s">
        <v>59</v>
      </c>
      <c r="N101" s="12"/>
      <c r="O101" s="12"/>
      <c r="P101" s="12"/>
      <c r="Q101" s="12"/>
      <c r="R101" s="12"/>
      <c r="S101" s="12"/>
    </row>
    <row r="102" customFormat="false" ht="15" hidden="false" customHeight="false" outlineLevel="0" collapsed="false">
      <c r="A102" s="9" t="n">
        <v>3</v>
      </c>
      <c r="B102" s="9" t="n">
        <v>32</v>
      </c>
      <c r="C102" s="9" t="n">
        <v>6</v>
      </c>
      <c r="D102" s="9" t="s">
        <v>81</v>
      </c>
      <c r="E102" s="9" t="n">
        <v>5</v>
      </c>
      <c r="F102" s="9" t="n">
        <v>141.28</v>
      </c>
      <c r="G102" s="9" t="n">
        <v>18.01</v>
      </c>
      <c r="H102" s="9" t="n">
        <v>1</v>
      </c>
      <c r="I102" s="9"/>
      <c r="J102" s="9" t="s">
        <v>56</v>
      </c>
      <c r="K102" s="9"/>
      <c r="L102" s="9"/>
      <c r="M102" s="10"/>
      <c r="N102" s="12"/>
      <c r="O102" s="12"/>
      <c r="P102" s="12"/>
      <c r="Q102" s="12"/>
      <c r="R102" s="12"/>
      <c r="S102" s="12"/>
    </row>
    <row r="103" customFormat="false" ht="15" hidden="false" customHeight="false" outlineLevel="0" collapsed="false">
      <c r="A103" s="9" t="n">
        <v>3</v>
      </c>
      <c r="B103" s="9" t="n">
        <v>33</v>
      </c>
      <c r="C103" s="9" t="n">
        <v>7</v>
      </c>
      <c r="D103" s="9" t="s">
        <v>82</v>
      </c>
      <c r="E103" s="9" t="n">
        <v>5</v>
      </c>
      <c r="F103" s="9" t="n">
        <v>161.5</v>
      </c>
      <c r="G103" s="9"/>
      <c r="H103" s="9"/>
      <c r="I103" s="9"/>
      <c r="J103" s="9" t="s">
        <v>83</v>
      </c>
      <c r="K103" s="9" t="s">
        <v>59</v>
      </c>
      <c r="L103" s="9"/>
      <c r="M103" s="10"/>
      <c r="N103" s="12"/>
      <c r="O103" s="12"/>
      <c r="P103" s="12"/>
      <c r="Q103" s="12"/>
      <c r="R103" s="12"/>
      <c r="S103" s="12"/>
    </row>
    <row r="104" customFormat="false" ht="15" hidden="false" customHeight="false" outlineLevel="0" collapsed="false">
      <c r="A104" s="9" t="n">
        <v>3</v>
      </c>
      <c r="B104" s="9" t="n">
        <v>34</v>
      </c>
      <c r="C104" s="9" t="n">
        <v>7</v>
      </c>
      <c r="D104" s="9" t="s">
        <v>82</v>
      </c>
      <c r="E104" s="9" t="n">
        <v>6</v>
      </c>
      <c r="F104" s="9" t="n">
        <v>170.9</v>
      </c>
      <c r="G104" s="9"/>
      <c r="H104" s="9"/>
      <c r="I104" s="9"/>
      <c r="J104" s="9" t="s">
        <v>84</v>
      </c>
      <c r="K104" s="9" t="s">
        <v>59</v>
      </c>
      <c r="L104" s="9"/>
      <c r="M104" s="10"/>
      <c r="N104" s="12"/>
      <c r="O104" s="12"/>
      <c r="P104" s="12"/>
      <c r="Q104" s="12"/>
      <c r="R104" s="12"/>
      <c r="S104" s="12"/>
    </row>
    <row r="105" customFormat="false" ht="15" hidden="false" customHeight="false" outlineLevel="0" collapsed="false">
      <c r="A105" s="9" t="n">
        <v>3</v>
      </c>
      <c r="B105" s="9" t="n">
        <v>35</v>
      </c>
      <c r="C105" s="9" t="n">
        <v>8</v>
      </c>
      <c r="D105" s="9" t="s">
        <v>82</v>
      </c>
      <c r="E105" s="9" t="n">
        <v>5</v>
      </c>
      <c r="F105" s="9" t="n">
        <v>161.5</v>
      </c>
      <c r="G105" s="9"/>
      <c r="H105" s="9"/>
      <c r="I105" s="9"/>
      <c r="J105" s="9" t="s">
        <v>83</v>
      </c>
      <c r="K105" s="9" t="s">
        <v>59</v>
      </c>
      <c r="L105" s="9"/>
      <c r="M105" s="10"/>
      <c r="N105" s="12"/>
      <c r="O105" s="12"/>
      <c r="P105" s="12"/>
      <c r="Q105" s="12"/>
      <c r="R105" s="12"/>
      <c r="S105" s="12"/>
    </row>
    <row r="106" customFormat="false" ht="15" hidden="false" customHeight="false" outlineLevel="0" collapsed="false">
      <c r="A106" s="9" t="n">
        <v>3</v>
      </c>
      <c r="B106" s="9" t="n">
        <v>36</v>
      </c>
      <c r="C106" s="9" t="n">
        <v>8</v>
      </c>
      <c r="D106" s="9" t="s">
        <v>82</v>
      </c>
      <c r="E106" s="9" t="n">
        <v>6</v>
      </c>
      <c r="F106" s="9" t="n">
        <v>170.9</v>
      </c>
      <c r="G106" s="9"/>
      <c r="H106" s="9"/>
      <c r="I106" s="9"/>
      <c r="J106" s="9" t="s">
        <v>84</v>
      </c>
      <c r="K106" s="9" t="s">
        <v>59</v>
      </c>
      <c r="L106" s="9"/>
      <c r="M106" s="10"/>
      <c r="N106" s="12"/>
      <c r="O106" s="12"/>
      <c r="P106" s="12"/>
      <c r="Q106" s="12"/>
      <c r="R106" s="12"/>
      <c r="S106" s="12"/>
    </row>
  </sheetData>
  <autoFilter ref="A1:M1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2026-07-20T20:23:27Z</dcterms:created>
  <dc:creator>openpyxl</dc:creator>
  <dc:description/>
  <dc:language>en-US</dc:language>
  <cp:lastModifiedBy/>
  <dcterms:modified xsi:type="dcterms:W3CDTF">2026-07-20T20:23:27Z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